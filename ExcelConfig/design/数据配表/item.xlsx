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800" windowHeight="17115" tabRatio="41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2" authorId="0">
      <text>
        <r>
          <rPr>
            <sz val="9"/>
            <rFont val="宋体"/>
            <charset val="134"/>
          </rPr>
          <t xml:space="preserve">Administrator:
0不能
#//位1拾取 == 2^0  1
#//位2丢弃 == 2^1  2
#//位3抢夺 == 2^2  4
拾取+丢弃=3
拾取+抢夺=5
丢弃+抢夺=6
全能=7
需要什么就把对应数字加起来
</t>
        </r>
      </text>
    </comment>
    <comment ref="J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道具状态控制[道具id,道具状态]</t>
        </r>
      </text>
    </comment>
    <comment ref="K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由道具状态控制关闭
[道具id,道具状态]</t>
        </r>
      </text>
    </comment>
    <comment ref="M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不可改变，永久性</t>
        </r>
      </text>
    </comment>
    <comment ref="O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P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玩家传送到柜子里的坐标位置及玩家从柜子出来后的坐标位置
例如：{"container":{"in":{"pos":[-45.23, 0.12, 23.40],"rot":[0.00, 90.00, 0.00]},"out":{"pos":[-44.29, 0.02, 23.40],"rot":[0.00, 90.00, 0.0]}}}
{"container":{"在柜子里":{"位置":[X, Y, Z],"旋转":[X, Y, Z]},"出柜子后":{"位置":[X, Y, Z],"旋转":[X, Y, Z]}}}</t>
        </r>
      </text>
    </comment>
    <comment ref="Q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100=100%
不填默认100%</t>
        </r>
      </text>
    </comment>
    <comment ref="R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x，y，z
不填默认不修正</t>
        </r>
      </text>
    </comment>
    <comment ref="S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x，y，z
不填默认不修正</t>
        </r>
      </text>
    </comment>
    <comment ref="Z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0.其他
1.拿起来按键交互</t>
        </r>
      </text>
    </comment>
    <comment ref="AA2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-1：不交互
类似开灯之前的窗帘
-2：隐藏（无声音特效）
-3：显示（无声音特效）</t>
        </r>
      </text>
    </comment>
    <comment ref="A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默认出现时后的状态，方便配置和理解
部分道具状态0具有逻辑</t>
        </r>
      </text>
    </comment>
    <comment ref="A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标颜色为通过扳机键可以在同样颜色之中切换</t>
        </r>
      </text>
    </comment>
    <comment ref="AK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[道具id,初始状态,延迟时间]</t>
        </r>
      </text>
    </comment>
  </commentList>
</comments>
</file>

<file path=xl/sharedStrings.xml><?xml version="1.0" encoding="utf-8"?>
<sst xmlns="http://schemas.openxmlformats.org/spreadsheetml/2006/main" count="1665" uniqueCount="506">
  <si>
    <t>#keyword</t>
  </si>
  <si>
    <t>ID</t>
  </si>
  <si>
    <t>name</t>
  </si>
  <si>
    <t>handprop</t>
  </si>
  <si>
    <t>holdonetype</t>
  </si>
  <si>
    <t>holdstay</t>
  </si>
  <si>
    <t>regular</t>
  </si>
  <si>
    <t>handlock</t>
  </si>
  <si>
    <t>edge</t>
  </si>
  <si>
    <t>edgeend</t>
  </si>
  <si>
    <t>opui</t>
  </si>
  <si>
    <t>op</t>
  </si>
  <si>
    <t>flitem</t>
  </si>
  <si>
    <t>extend</t>
  </si>
  <si>
    <t>special</t>
  </si>
  <si>
    <t>scaling</t>
  </si>
  <si>
    <t>rectify</t>
  </si>
  <si>
    <t>pos</t>
  </si>
  <si>
    <t>clue</t>
  </si>
  <si>
    <t>handValue</t>
  </si>
  <si>
    <t>交互属性</t>
  </si>
  <si>
    <t>状态</t>
  </si>
  <si>
    <t>#</t>
  </si>
  <si>
    <t>备注</t>
  </si>
  <si>
    <t>名称</t>
  </si>
  <si>
    <t>初始字段，可拾取换手抢夺</t>
  </si>
  <si>
    <t>同组只能拾取一个</t>
  </si>
  <si>
    <t>是否持续握持</t>
  </si>
  <si>
    <t>固定物（用于判断手要不要飞过去）</t>
  </si>
  <si>
    <t>道具拾取后无法丢弃，可换手</t>
  </si>
  <si>
    <t>红描边条件开启</t>
  </si>
  <si>
    <t>红描边条件关闭</t>
  </si>
  <si>
    <t>是否打开谜题界面</t>
  </si>
  <si>
    <t>是否可玩家操作（发光）</t>
  </si>
  <si>
    <t>全局闪光</t>
  </si>
  <si>
    <t>扩展数据</t>
  </si>
  <si>
    <t>特殊字段</t>
  </si>
  <si>
    <t>查看缩放比例</t>
  </si>
  <si>
    <t>旋转位置修正（x，y，z）</t>
  </si>
  <si>
    <t>方向位置修正（x，y，z）</t>
  </si>
  <si>
    <t>线索表ID</t>
  </si>
  <si>
    <t>拿起后手指弯曲程度(暂时无用）</t>
  </si>
  <si>
    <t>不阻挡
0</t>
  </si>
  <si>
    <t>阻挡
1</t>
  </si>
  <si>
    <t>可被玩家撞开
2</t>
  </si>
  <si>
    <t>可踩上
3</t>
  </si>
  <si>
    <t>use交互方式</t>
  </si>
  <si>
    <t>不可交互，初始状态不为0也填这里
-1</t>
  </si>
  <si>
    <t>初始状态
0</t>
  </si>
  <si>
    <t>初始状态</t>
  </si>
  <si>
    <t>不显示</t>
  </si>
  <si>
    <t>计算过程</t>
  </si>
  <si>
    <t>初始化复制</t>
  </si>
  <si>
    <t>#group</t>
  </si>
  <si>
    <t>all</t>
  </si>
  <si>
    <t>client</t>
  </si>
  <si>
    <t>server</t>
  </si>
  <si>
    <t>#type</t>
  </si>
  <si>
    <t>int</t>
  </si>
  <si>
    <t>string</t>
  </si>
  <si>
    <t>array:{id:int ,state:int}</t>
  </si>
  <si>
    <t>array:{id:int,state:int}</t>
  </si>
  <si>
    <t>array</t>
  </si>
  <si>
    <t>json</t>
  </si>
  <si>
    <t>object:{x:int,y:int,z:int}</t>
  </si>
  <si>
    <t>object:{lg:double,lt:double,rg:double,rt:double}</t>
  </si>
  <si>
    <t>卫生间门</t>
  </si>
  <si>
    <t>[4115,1];[4115,1]</t>
  </si>
  <si>
    <t>0,0,0</t>
  </si>
  <si>
    <t>0,0,0,0</t>
  </si>
  <si>
    <t>关闭
关门.mp3</t>
  </si>
  <si>
    <t>打开
玩家操作
木门推拉.mp3</t>
  </si>
  <si>
    <t>IF(X6=1,"",IF(ROUNDDOWN(A7/1000,0)=ROUNDDOWN(A6/1000,0),"["&amp;A6&amp;","&amp;W6&amp;",0];","["&amp;A6&amp;","&amp;W6&amp;",0]"))</t>
  </si>
  <si>
    <t>IF(X6=1,"",IF(A7="","["&amp;A6&amp;","&amp;W6&amp;",0]","["&amp;A6&amp;","&amp;W6&amp;",0];"))</t>
  </si>
  <si>
    <t>隔间门1</t>
  </si>
  <si>
    <t>隔间门1外门把手</t>
  </si>
  <si>
    <t>隔间门1内门把手</t>
  </si>
  <si>
    <t>隔间门1锁</t>
  </si>
  <si>
    <t>上锁</t>
  </si>
  <si>
    <t>未上锁
默认</t>
  </si>
  <si>
    <t>马桶1盖子</t>
  </si>
  <si>
    <t>关闭盖子
通用摆放.mp3</t>
  </si>
  <si>
    <t>打开盖子
玩家操作
通用摆放.mp3</t>
  </si>
  <si>
    <t>马桶1冲水扳手位置</t>
  </si>
  <si>
    <t>冲水
玩家操作
马桶冲水.mp3</t>
  </si>
  <si>
    <t>高跟鞋左</t>
  </si>
  <si>
    <t>0.2,0.2,0.2,0.2</t>
  </si>
  <si>
    <t>隔间门1触发区域</t>
  </si>
  <si>
    <t>触发
有任意玩家进入仅一次</t>
  </si>
  <si>
    <t>隔间门2</t>
  </si>
  <si>
    <t>隔间门2外门把手</t>
  </si>
  <si>
    <t>隔间门2内门把手</t>
  </si>
  <si>
    <t>隔间门2锁</t>
  </si>
  <si>
    <t>马桶2盖子</t>
  </si>
  <si>
    <t>马桶2冲水扳手位置</t>
  </si>
  <si>
    <t>挡板</t>
  </si>
  <si>
    <t>挡板第一次被拿起</t>
  </si>
  <si>
    <t>1
仅一次</t>
  </si>
  <si>
    <t>化妆刷</t>
  </si>
  <si>
    <t>0,0,0.5,0.4</t>
  </si>
  <si>
    <t>纹路改变持续5s
每次拾取触发</t>
  </si>
  <si>
    <t>隔间门3</t>
  </si>
  <si>
    <t>隔间门3外门把手</t>
  </si>
  <si>
    <t>隔间门3内门把手</t>
  </si>
  <si>
    <t>第一次打开隔间3</t>
  </si>
  <si>
    <t>隔间门3锁</t>
  </si>
  <si>
    <t>马桶3盖子</t>
  </si>
  <si>
    <t>马桶3冲水扳手位置</t>
  </si>
  <si>
    <t>马桶3螺母</t>
  </si>
  <si>
    <t>没有</t>
  </si>
  <si>
    <t>有
玩家操作
机关安装声.mp3</t>
  </si>
  <si>
    <t>马桶3冲水大声</t>
  </si>
  <si>
    <t>垃圾桶3</t>
  </si>
  <si>
    <t>倒地，右鞋倒出
第一次打开隔间门3
倒地声.wav</t>
  </si>
  <si>
    <t>高跟鞋右断根</t>
  </si>
  <si>
    <t>修复完成
对齐，玩家操作
机关安装2.mp3</t>
  </si>
  <si>
    <t>隔间门3触发区域</t>
  </si>
  <si>
    <t>隔间门3指甲划痕</t>
  </si>
  <si>
    <t>有划痕
隔间门3关闭事件
指甲刮.mp3</t>
  </si>
  <si>
    <t>隔间门3外面海报</t>
  </si>
  <si>
    <t>有划痕版本
隔间门3关闭事件</t>
  </si>
  <si>
    <t>浴室警戒线</t>
  </si>
  <si>
    <t>掉落，改为不阻挡
隔间门3关闭事件</t>
  </si>
  <si>
    <t>高跟鞋走路</t>
  </si>
  <si>
    <t>触发
隔间门3关闭事件
高跟鞋走路.mp3
正向路徑</t>
  </si>
  <si>
    <t>高跟鞋走路.mp3
反向路徑</t>
  </si>
  <si>
    <t>浴室帘子</t>
  </si>
  <si>
    <t>关闭
帘子.mp3</t>
  </si>
  <si>
    <t>打开
玩家操作
帘子.mp3</t>
  </si>
  <si>
    <t>关闭
但是没有动画
帘子.mp3</t>
  </si>
  <si>
    <t>浴室帘子触发关闭区域</t>
  </si>
  <si>
    <t>第一次拉开帘子</t>
  </si>
  <si>
    <t>帘子影子</t>
  </si>
  <si>
    <t>显示
隔间3触发</t>
  </si>
  <si>
    <t>男NPC尸体</t>
  </si>
  <si>
    <t>静止</t>
  </si>
  <si>
    <t>抽搐</t>
  </si>
  <si>
    <t>粉饼盒</t>
  </si>
  <si>
    <t>[4115,1]</t>
  </si>
  <si>
    <t>[3475,1]</t>
  </si>
  <si>
    <t>化妆品盒子2</t>
  </si>
  <si>
    <t>口红</t>
  </si>
  <si>
    <t>[3470,1]</t>
  </si>
  <si>
    <t>暗格</t>
  </si>
  <si>
    <t>打开
谜题解开
触动机关.wav</t>
  </si>
  <si>
    <t>手电</t>
  </si>
  <si>
    <t>[5300,1]</t>
  </si>
  <si>
    <t>0.5,0.6,0.5,0.6</t>
  </si>
  <si>
    <t>关闭
手电开关.mp3</t>
  </si>
  <si>
    <t>打开
手电开关.mp3</t>
  </si>
  <si>
    <t>102闪烁关闭
女鬼事件</t>
  </si>
  <si>
    <t>强光</t>
  </si>
  <si>
    <t>口红第一次拾取事件</t>
  </si>
  <si>
    <t>手电2</t>
  </si>
  <si>
    <t>手电3</t>
  </si>
  <si>
    <t>手电4</t>
  </si>
  <si>
    <t>鞋跟</t>
  </si>
  <si>
    <t>0.5,0.5,0.5,0.5</t>
  </si>
  <si>
    <t>卫生间3谜题</t>
  </si>
  <si>
    <t>0
女鬼事件</t>
  </si>
  <si>
    <t>浴室谜题</t>
  </si>
  <si>
    <t>钥匙</t>
  </si>
  <si>
    <t>0.5,0.4,0.5,0.4</t>
  </si>
  <si>
    <t>死人画1</t>
  </si>
  <si>
    <t>死人画2</t>
  </si>
  <si>
    <t>死人画3</t>
  </si>
  <si>
    <t>女人木偶</t>
  </si>
  <si>
    <t>[4090,1]</t>
  </si>
  <si>
    <t>化妆盒</t>
  </si>
  <si>
    <t>关闭</t>
  </si>
  <si>
    <t>打开
木门推拉.mp3</t>
  </si>
  <si>
    <t>口红判定</t>
  </si>
  <si>
    <t>放上口红
机关安装声.mp3</t>
  </si>
  <si>
    <t>粉饼盒判定</t>
  </si>
  <si>
    <t>放上粉饼盒
机关安装声.mp3</t>
  </si>
  <si>
    <t>谜题灯</t>
  </si>
  <si>
    <t>打开</t>
  </si>
  <si>
    <t>女鬼声音</t>
  </si>
  <si>
    <t>播放</t>
  </si>
  <si>
    <t>木偶第一次拾取事件</t>
  </si>
  <si>
    <t>马桶冲水扳手物品</t>
  </si>
  <si>
    <t>纸张1</t>
  </si>
  <si>
    <t>20,50,10</t>
  </si>
  <si>
    <t>纸张2</t>
  </si>
  <si>
    <t>按钮1</t>
  </si>
  <si>
    <t>蓝</t>
  </si>
  <si>
    <t>白</t>
  </si>
  <si>
    <t>黄</t>
  </si>
  <si>
    <t>红</t>
  </si>
  <si>
    <t>黑</t>
  </si>
  <si>
    <t>100
锁疯狂转动</t>
  </si>
  <si>
    <t>按钮2</t>
  </si>
  <si>
    <t>按钮3</t>
  </si>
  <si>
    <t>出生点门</t>
  </si>
  <si>
    <t>出生点门把手1</t>
  </si>
  <si>
    <t>出生点门把手2</t>
  </si>
  <si>
    <t>出生点门锁</t>
  </si>
  <si>
    <t>上锁
门上锁.mp3</t>
  </si>
  <si>
    <t>未上锁
玩家操作
门开锁.mp3</t>
  </si>
  <si>
    <t>电视机触发区域</t>
  </si>
  <si>
    <t>电视机</t>
  </si>
  <si>
    <t>播放电视
收发室电视机.mp3
播放字幕</t>
  </si>
  <si>
    <t>播放电视完成后</t>
  </si>
  <si>
    <t>101
电视机播放新音频</t>
  </si>
  <si>
    <t>100
电视机停止播放新音频</t>
  </si>
  <si>
    <t>鬼域介绍</t>
  </si>
  <si>
    <t>柜子锁</t>
  </si>
  <si>
    <t>打开
玩家操作</t>
  </si>
  <si>
    <t>柜子门左</t>
  </si>
  <si>
    <t>柜子门左门把手</t>
  </si>
  <si>
    <t>柜子门右</t>
  </si>
  <si>
    <t>柜子门右门把手</t>
  </si>
  <si>
    <t>柜子门第一次被打开（左右任意一个）</t>
  </si>
  <si>
    <t>女鬼NPC出现事件</t>
  </si>
  <si>
    <t>血脚印事件触发区域</t>
  </si>
  <si>
    <t>创建血脚印事件</t>
  </si>
  <si>
    <t>1
创建prefab</t>
  </si>
  <si>
    <t>女鬼吃人事件</t>
  </si>
  <si>
    <t>女鬼抓脸事件</t>
  </si>
  <si>
    <t>女鬼NPC</t>
  </si>
  <si>
    <t>柜子上的布</t>
  </si>
  <si>
    <t>第一房间铁门前灯Spot Light_9</t>
  </si>
  <si>
    <t>黑板抓痕</t>
  </si>
  <si>
    <t>吊环拉手1</t>
  </si>
  <si>
    <t>拉下</t>
  </si>
  <si>
    <t>持续拉下</t>
  </si>
  <si>
    <t>吊环拉手2</t>
  </si>
  <si>
    <t>吊环拉手3</t>
  </si>
  <si>
    <t>吊环拉手4</t>
  </si>
  <si>
    <t>柱子毛笔</t>
  </si>
  <si>
    <t>纸片1（黑板上）</t>
  </si>
  <si>
    <t>地面上</t>
  </si>
  <si>
    <t>黑板上可拖动
纸张摩擦.mp3</t>
  </si>
  <si>
    <t>黑板上正确不可选中</t>
  </si>
  <si>
    <t>纸片2</t>
  </si>
  <si>
    <t>[1030,1]</t>
  </si>
  <si>
    <t>[2082,1]</t>
  </si>
  <si>
    <t>纸片3</t>
  </si>
  <si>
    <t>纸片4</t>
  </si>
  <si>
    <t>纸片5</t>
  </si>
  <si>
    <t>纸片6</t>
  </si>
  <si>
    <t>纸片7</t>
  </si>
  <si>
    <t>纸片8</t>
  </si>
  <si>
    <t>纸片9</t>
  </si>
  <si>
    <t>纸片10（黑板上）</t>
  </si>
  <si>
    <t>右黑板</t>
  </si>
  <si>
    <t>右黑板拼图成功判定</t>
  </si>
  <si>
    <t>成功</t>
  </si>
  <si>
    <t>投币判定</t>
  </si>
  <si>
    <t>钱币1</t>
  </si>
  <si>
    <t>[4050,1]</t>
  </si>
  <si>
    <t>钱币2</t>
  </si>
  <si>
    <t>钱币3</t>
  </si>
  <si>
    <t>黄婆婆说话1</t>
  </si>
  <si>
    <t>播放
签子出来后</t>
  </si>
  <si>
    <t>黄婆婆说话2</t>
  </si>
  <si>
    <t>播放
解签完说女厕</t>
  </si>
  <si>
    <t>播放结束</t>
  </si>
  <si>
    <t>女鬼纸张</t>
  </si>
  <si>
    <t>签筒</t>
  </si>
  <si>
    <t>晃动出签
求签.mp3</t>
  </si>
  <si>
    <t>解签1</t>
  </si>
  <si>
    <t>解签2</t>
  </si>
  <si>
    <t>解签3</t>
  </si>
  <si>
    <t>签子</t>
  </si>
  <si>
    <t>[4057,1]</t>
  </si>
  <si>
    <t>解签4</t>
  </si>
  <si>
    <t>[9999,2]</t>
  </si>
  <si>
    <t>解签4第一次被拿起</t>
  </si>
  <si>
    <t>拿起</t>
  </si>
  <si>
    <t>解签5</t>
  </si>
  <si>
    <t>解签6</t>
  </si>
  <si>
    <t>五仙祭魂术</t>
  </si>
  <si>
    <t>婆婆背后柜子门</t>
  </si>
  <si>
    <t>婆婆背后柜子门门把手</t>
  </si>
  <si>
    <t>回来后剧情触发</t>
  </si>
  <si>
    <t>剧情播放</t>
  </si>
  <si>
    <t>剧情结束</t>
  </si>
  <si>
    <t>解签灯</t>
  </si>
  <si>
    <t>婆婆背后柜子锁</t>
  </si>
  <si>
    <t>铁笼门</t>
  </si>
  <si>
    <t>关闭
铁门掉落.wav</t>
  </si>
  <si>
    <t>打开
打开笼门.mp3</t>
  </si>
  <si>
    <t>柜子上令牌1</t>
  </si>
  <si>
    <t>取下
摘木牌.mp3</t>
  </si>
  <si>
    <t>柜子上令牌2</t>
  </si>
  <si>
    <t>[6052,1]</t>
  </si>
  <si>
    <t>柜子上令牌3</t>
  </si>
  <si>
    <t>木偶判定区域</t>
  </si>
  <si>
    <t>放上木偶
通用摆放.mp3</t>
  </si>
  <si>
    <t>上结局演出</t>
  </si>
  <si>
    <t>触发演出TL</t>
  </si>
  <si>
    <t>戏鬼下开局检测玩家</t>
  </si>
  <si>
    <t>铁笼凶器</t>
  </si>
  <si>
    <t>凶器播放
受刑.mp3</t>
  </si>
  <si>
    <t>大柜子可变形</t>
  </si>
  <si>
    <t>掉落
重物掉落.mp3</t>
  </si>
  <si>
    <t>贴图和雾的变化</t>
  </si>
  <si>
    <t>变化</t>
  </si>
  <si>
    <t>柜子抽屉把手</t>
  </si>
  <si>
    <t>副本地图</t>
  </si>
  <si>
    <t>[4095,1]</t>
  </si>
  <si>
    <t>[4309,1]</t>
  </si>
  <si>
    <t>五仙简介</t>
  </si>
  <si>
    <t>回来后语音1</t>
  </si>
  <si>
    <t>语音播放</t>
  </si>
  <si>
    <t>语音结束</t>
  </si>
  <si>
    <t>女厕门口机关</t>
  </si>
  <si>
    <t>上
触动机关.wav</t>
  </si>
  <si>
    <t>下
触动机关.wav</t>
  </si>
  <si>
    <t>左
触动机关.wav</t>
  </si>
  <si>
    <t>右
触动机关.wav</t>
  </si>
  <si>
    <t>门口机关成功判定</t>
  </si>
  <si>
    <t>失败</t>
  </si>
  <si>
    <t>女厕门口机关握手</t>
  </si>
  <si>
    <t>五仙头1狐狸</t>
  </si>
  <si>
    <t>[4096,1]</t>
  </si>
  <si>
    <t>五仙头1狐狸第一次拾取</t>
  </si>
  <si>
    <t>五仙头2老鼠</t>
  </si>
  <si>
    <t>五仙头3黄鼠狼</t>
  </si>
  <si>
    <t>五仙头3刺猬第一次拾取</t>
  </si>
  <si>
    <t>五仙头4刺猬</t>
  </si>
  <si>
    <t>五仙头5蛇</t>
  </si>
  <si>
    <t>五仙头1区域</t>
  </si>
  <si>
    <t>放入五仙头1
通用摆放.mp3</t>
  </si>
  <si>
    <t>放入五仙头2
通用摆放.mp3</t>
  </si>
  <si>
    <t>放入五仙头3
通用摆放.mp3</t>
  </si>
  <si>
    <t>放入五仙头4
通用摆放.mp3</t>
  </si>
  <si>
    <t>放入五仙头5
通用摆放.mp3</t>
  </si>
  <si>
    <t>五仙头2区域</t>
  </si>
  <si>
    <t>五仙头3区域</t>
  </si>
  <si>
    <t>五仙头4区域</t>
  </si>
  <si>
    <t>五仙头5区域</t>
  </si>
  <si>
    <t>106门</t>
  </si>
  <si>
    <t>106门外门把手</t>
  </si>
  <si>
    <t>106门内门把手</t>
  </si>
  <si>
    <t>106锁</t>
  </si>
  <si>
    <t>106红符</t>
  </si>
  <si>
    <t>锁上</t>
  </si>
  <si>
    <t>发光
拾取时
撕纸.wav</t>
  </si>
  <si>
    <t>106红符第一次被拾取</t>
  </si>
  <si>
    <t>块拼图1</t>
  </si>
  <si>
    <t>块拼图6</t>
  </si>
  <si>
    <t>块拼图7</t>
  </si>
  <si>
    <t>拼图块放置区域1</t>
  </si>
  <si>
    <t>拼图块放置区域6</t>
  </si>
  <si>
    <t>拼图块放置区域7</t>
  </si>
  <si>
    <t>华容道拼图成功</t>
  </si>
  <si>
    <t>0;1;2;3;4;6;7;8</t>
  </si>
  <si>
    <t>拼图成功-释放碎片</t>
  </si>
  <si>
    <t>电表箱红符</t>
  </si>
  <si>
    <t>箱子上</t>
  </si>
  <si>
    <t>电表箱红符第一次被拾取</t>
  </si>
  <si>
    <t>电表箱外电线</t>
  </si>
  <si>
    <t>电表闸1</t>
  </si>
  <si>
    <t>0
每推动一格
推闸.mp3</t>
  </si>
  <si>
    <t>电表闸2</t>
  </si>
  <si>
    <t>电表闸3</t>
  </si>
  <si>
    <t>电表闸4</t>
  </si>
  <si>
    <t>电表闸5</t>
  </si>
  <si>
    <t>电表隔板</t>
  </si>
  <si>
    <t>掉下
重物掉落.mp3</t>
  </si>
  <si>
    <t>棺材房门口地面血符</t>
  </si>
  <si>
    <t>棺材锁</t>
  </si>
  <si>
    <t>1
门开锁.mp3</t>
  </si>
  <si>
    <t>齿轮1</t>
  </si>
  <si>
    <t>1
机关开关.mp3</t>
  </si>
  <si>
    <t>2
机关开关.mp3</t>
  </si>
  <si>
    <t>3
机关开关.mp3</t>
  </si>
  <si>
    <t>4
机关开关.mp3</t>
  </si>
  <si>
    <t>齿轮2</t>
  </si>
  <si>
    <t>齿轮3</t>
  </si>
  <si>
    <t>齿轮4</t>
  </si>
  <si>
    <t>第一次扭动棺材锁芯</t>
  </si>
  <si>
    <t>密码锁任意三位正确</t>
  </si>
  <si>
    <t>棺材底噪</t>
  </si>
  <si>
    <t>1
底噪</t>
  </si>
  <si>
    <t>2
底噪+紧张</t>
  </si>
  <si>
    <t>棺材红符</t>
  </si>
  <si>
    <t>柜子红符</t>
  </si>
  <si>
    <t>柜子上</t>
  </si>
  <si>
    <t>厕所红符</t>
  </si>
  <si>
    <t>墙上</t>
  </si>
  <si>
    <t>棺材红符第一次被拿起</t>
  </si>
  <si>
    <t>柜子红符第一次被拿起</t>
  </si>
  <si>
    <t>厕所红符第一次被拿起</t>
  </si>
  <si>
    <t>厕所红符砖片</t>
  </si>
  <si>
    <t>掉落</t>
  </si>
  <si>
    <t>桌上出现103</t>
  </si>
  <si>
    <t>103通道大门左</t>
  </si>
  <si>
    <t>103通道大门右</t>
  </si>
  <si>
    <t>103通道大门锁</t>
  </si>
  <si>
    <t>103通道感应1</t>
  </si>
  <si>
    <t>未感应</t>
  </si>
  <si>
    <t>感应
通用摆放.mp3</t>
  </si>
  <si>
    <t>103通道感应2</t>
  </si>
  <si>
    <t>103通道感应3</t>
  </si>
  <si>
    <t>103通道感应4</t>
  </si>
  <si>
    <t>103通道感应道具1</t>
  </si>
  <si>
    <t>[4310,1]</t>
  </si>
  <si>
    <t>103通道感应道具2</t>
  </si>
  <si>
    <t>103通道感应道具3</t>
  </si>
  <si>
    <t>103通道感应道具4</t>
  </si>
  <si>
    <t>黄婆婆桌子上灯Spot Light</t>
  </si>
  <si>
    <t>开启</t>
  </si>
  <si>
    <t>躲避柜1</t>
  </si>
  <si>
    <t>{"container":{"in":{"pos":[-22.25, 0.12, 4.20],"rot":[0.00, 180.00, 0.00]},"out":{"pos":[-22.25, 0.02, 3.25],"rot":[0.00, 180.00, 0.00]}}}</t>
  </si>
  <si>
    <t>门关闭</t>
  </si>
  <si>
    <t>门打开，玩家传送到门中</t>
  </si>
  <si>
    <t>躲避柜门1（可掉落）</t>
  </si>
  <si>
    <t>102倒地</t>
  </si>
  <si>
    <t>柜门轰开区域</t>
  </si>
  <si>
    <t>躲避柜2</t>
  </si>
  <si>
    <t>{"container":{"in":{"pos":[-40.39, 0.12, 14.59],"rot":[0.00, 270.00, 0.00]},"out":{"pos":[-41.33, 0.02, 14.59],"rot":[0,270,0]}}}</t>
  </si>
  <si>
    <t>躲避柜门2</t>
  </si>
  <si>
    <t>躲避柜3</t>
  </si>
  <si>
    <t>{"container":{"in":{"pos":[-44.51, 0.12, 5.24],"rot":[0.00, 90.00, 0.00]},"out":{"pos":[-43.57, 0.02, 5.24],"rot":[0.00, 90.00, 0.00]}}}</t>
  </si>
  <si>
    <t>躲避柜门3</t>
  </si>
  <si>
    <t>躲避柜4</t>
  </si>
  <si>
    <t>{"container":{"in":{"pos":[-36.14, 0.12, -0.22],"rot":[0.00, 0.00, 0.00]},"out":{"pos":[-36.14, 0.02, 0.72],"rot":[0.00, 0.00, 0.0]}}}</t>
  </si>
  <si>
    <t>躲避柜门4</t>
  </si>
  <si>
    <t>躲避柜5</t>
  </si>
  <si>
    <t>{"container":{"in":{"pos":[-45.23, 0.12, 23.40],"rot":[0.00, 90.00, 0.00]},"out":{"pos":[-44.29, 0.02, 23.40],"rot":[0.00, 90.00, 0.0]}}}</t>
  </si>
  <si>
    <t>躲避柜门5</t>
  </si>
  <si>
    <t>五仙台门帘触发区域</t>
  </si>
  <si>
    <t>追逐—五仙台门帘合起触发区域</t>
  </si>
  <si>
    <t>五仙台门帘</t>
  </si>
  <si>
    <t>帘子打开</t>
  </si>
  <si>
    <t>大铁门外隔板触发区域</t>
  </si>
  <si>
    <t>大铁门外隔板</t>
  </si>
  <si>
    <t>出现</t>
  </si>
  <si>
    <t>女鬼追逐事件</t>
  </si>
  <si>
    <t>动作和声音全是TL状态
状态 - ID - 说明
0     待机    说明
1     46351    女鬼现身过程
2     46352    女鬼追逐过程    
3     46353    玩家躲避成功
4     46354    玩家躲避失败
7              玩家成功后状态</t>
  </si>
  <si>
    <t>记录女鬼追逐次数</t>
  </si>
  <si>
    <t>检测女鬼经过柜子</t>
  </si>
  <si>
    <t>没有经过柜子</t>
  </si>
  <si>
    <t>女鬼经过第一个柜子</t>
  </si>
  <si>
    <t>女鬼经过第二个柜子</t>
  </si>
  <si>
    <t>女鬼经过第三个柜子</t>
  </si>
  <si>
    <t>女鬼经过第四个柜子</t>
  </si>
  <si>
    <t>女鬼经过第五个柜子</t>
  </si>
  <si>
    <t>玩家失败女鬼抓脸</t>
  </si>
  <si>
    <t>开场语音</t>
  </si>
  <si>
    <t>触发播放语音
1.游戏入场（改）.mp3</t>
  </si>
  <si>
    <t>摇椅触发区域</t>
  </si>
  <si>
    <t>摇椅</t>
  </si>
  <si>
    <t>播放音源和动画
摇椅.mp3</t>
  </si>
  <si>
    <t>拍球触发区域</t>
  </si>
  <si>
    <t>拍球声音</t>
  </si>
  <si>
    <t>播放音源和动画
拍球.mp3</t>
  </si>
  <si>
    <t>乌鸦叫触发区域</t>
  </si>
  <si>
    <t>乌鸦叫</t>
  </si>
  <si>
    <t>播放音源
鸟.mp3</t>
  </si>
  <si>
    <t>小女孩哭触发区域</t>
  </si>
  <si>
    <t>小女孩哭</t>
  </si>
  <si>
    <t>播放音源</t>
  </si>
  <si>
    <t>开门声触发区域</t>
  </si>
  <si>
    <t>开门声</t>
  </si>
  <si>
    <t>播放音源
太和殿开门声_爱给网_aigei_com.mp3</t>
  </si>
  <si>
    <t>厕所开门音效</t>
  </si>
  <si>
    <t>掉纸人触发区域</t>
  </si>
  <si>
    <t>掉纸人</t>
  </si>
  <si>
    <t>回五仙台语音1关好柜子</t>
  </si>
  <si>
    <t>1
关好柜子</t>
  </si>
  <si>
    <t>回五仙台语音2五仙真身</t>
  </si>
  <si>
    <t>1
地图</t>
  </si>
  <si>
    <t>回五仙台语音3原本位置</t>
  </si>
  <si>
    <t>1
找五仙</t>
  </si>
  <si>
    <t>回五仙台语音4交代</t>
  </si>
  <si>
    <t>1
嘱托</t>
  </si>
  <si>
    <t>禺镇小记1 木偶“活”了</t>
  </si>
  <si>
    <t>禺镇小记2 戏声夺命</t>
  </si>
  <si>
    <t>黄婆婆日记 镇压失败</t>
  </si>
  <si>
    <t>禺镇小记3 黄婆婆</t>
  </si>
  <si>
    <t>禺镇小记4 黄仙为尊</t>
  </si>
  <si>
    <t>五仙小传</t>
  </si>
  <si>
    <t>狐大仙</t>
  </si>
  <si>
    <t>1
狐大仙保佑</t>
  </si>
  <si>
    <t>灰大仙</t>
  </si>
  <si>
    <t>1
灰大仙保佑</t>
  </si>
  <si>
    <t>柳大仙</t>
  </si>
  <si>
    <t>1
柳大仙保佑</t>
  </si>
  <si>
    <t>白大仙</t>
  </si>
  <si>
    <t>1
白大仙保佑</t>
  </si>
  <si>
    <t>黄大仙</t>
  </si>
  <si>
    <t>1
黄大仙保佑</t>
  </si>
  <si>
    <t>女鬼撑伞</t>
  </si>
  <si>
    <t>场景变化</t>
  </si>
  <si>
    <t>场景灯光变化</t>
  </si>
  <si>
    <t>禹镇采访笔记1</t>
  </si>
  <si>
    <t>禹镇采访笔记2</t>
  </si>
  <si>
    <t>禹镇采访笔记3</t>
  </si>
  <si>
    <t>禹镇采访笔记5</t>
  </si>
  <si>
    <t>禹镇采访笔记6</t>
  </si>
  <si>
    <t>剧情2</t>
  </si>
  <si>
    <t>播放剧情</t>
  </si>
  <si>
    <t>剧情2触发区域</t>
  </si>
  <si>
    <t>剧情3</t>
  </si>
  <si>
    <t>103通道大门剧情</t>
  </si>
  <si>
    <t>票房铁门</t>
  </si>
  <si>
    <t>石狮按钮1</t>
  </si>
  <si>
    <t>按下</t>
  </si>
  <si>
    <t>101持续按住</t>
  </si>
  <si>
    <t>石狮按钮2</t>
  </si>
  <si>
    <t>石狮按钮3</t>
  </si>
  <si>
    <t>石狮按钮4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</si>
</sst>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1498153630176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8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9" borderId="14" applyNumberFormat="0" applyAlignment="0" applyProtection="0">
      <alignment vertical="center"/>
    </xf>
    <xf numFmtId="0" fontId="13" fillId="20" borderId="15" applyNumberFormat="0" applyAlignment="0" applyProtection="0">
      <alignment vertical="center"/>
    </xf>
    <xf numFmtId="0" fontId="14" fillId="20" borderId="14" applyNumberFormat="0" applyAlignment="0" applyProtection="0">
      <alignment vertical="center"/>
    </xf>
    <xf numFmtId="0" fontId="15" fillId="21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</cellStyleXfs>
  <cellXfs count="118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49" fontId="0" fillId="10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0" fillId="3" borderId="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2" borderId="2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16" borderId="1" xfId="0" applyNumberForma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/>
    </xf>
    <xf numFmtId="0" fontId="0" fillId="16" borderId="5" xfId="0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0" fontId="0" fillId="6" borderId="5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0" fillId="17" borderId="4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C280"/>
  <sheetViews>
    <sheetView tabSelected="1" zoomScale="130" zoomScaleNormal="130" topLeftCell="J1" workbookViewId="0">
      <pane ySplit="4" topLeftCell="A5" activePane="bottomLeft" state="frozen"/>
      <selection/>
      <selection pane="bottomLeft" activeCell="P6" sqref="P6"/>
    </sheetView>
  </sheetViews>
  <sheetFormatPr defaultColWidth="9" defaultRowHeight="13.5"/>
  <cols>
    <col min="1" max="1" width="9.39166666666667" style="7" customWidth="1"/>
    <col min="2" max="2" width="8.25" style="8" customWidth="1"/>
    <col min="3" max="3" width="17.4083333333333" style="8" customWidth="1"/>
    <col min="4" max="4" width="21.875" style="8" customWidth="1"/>
    <col min="5" max="6" width="17.875" style="8" customWidth="1"/>
    <col min="7" max="7" width="8.625" style="8" customWidth="1"/>
    <col min="8" max="9" width="15.5" style="8" customWidth="1"/>
    <col min="10" max="10" width="19.625" style="8" customWidth="1"/>
    <col min="11" max="11" width="15.5" style="8" customWidth="1"/>
    <col min="12" max="12" width="8.625" style="8" customWidth="1"/>
    <col min="13" max="13" width="14.875" style="8" customWidth="1"/>
    <col min="14" max="15" width="16.5" style="8" customWidth="1"/>
    <col min="16" max="16" width="53.625" style="8" customWidth="1"/>
    <col min="17" max="17" width="12.875" style="8" customWidth="1"/>
    <col min="18" max="19" width="23.5" style="8" customWidth="1"/>
    <col min="20" max="20" width="10.625" style="8" customWidth="1"/>
    <col min="21" max="21" width="20.875" style="8" customWidth="1"/>
    <col min="22" max="23" width="8.625" style="8" customWidth="1"/>
    <col min="24" max="24" width="12.625" style="8" customWidth="1"/>
    <col min="25" max="25" width="8.625" style="8" customWidth="1"/>
    <col min="26" max="26" width="13.25" style="8" customWidth="1"/>
    <col min="27" max="27" width="17.375" style="8" customWidth="1"/>
    <col min="28" max="28" width="15.625" style="8" customWidth="1"/>
    <col min="29" max="29" width="18.25" style="8" customWidth="1"/>
    <col min="30" max="30" width="18.875" style="8" customWidth="1"/>
    <col min="31" max="31" width="18.25" style="8" customWidth="1"/>
    <col min="32" max="32" width="18.625" style="8" customWidth="1"/>
    <col min="33" max="33" width="21.375" style="8" customWidth="1"/>
    <col min="34" max="34" width="16.5" style="8" customWidth="1"/>
    <col min="35" max="35" width="8.625" style="8" customWidth="1"/>
    <col min="36" max="36" width="7.75" style="8" customWidth="1"/>
    <col min="37" max="37" width="13.125" style="8" customWidth="1"/>
    <col min="38" max="38" width="17.875" style="8" customWidth="1"/>
    <col min="39" max="40" width="9" style="8"/>
    <col min="41" max="41" width="8.625" style="8" customWidth="1"/>
    <col min="42" max="42" width="7.75" style="8" customWidth="1"/>
    <col min="43" max="43" width="13.125" style="8" customWidth="1"/>
    <col min="44" max="44" width="17.875" style="8" customWidth="1"/>
    <col min="45" max="46" width="9" style="8"/>
    <col min="47" max="47" width="8.625" style="8" customWidth="1"/>
    <col min="48" max="48" width="7.75" style="8" customWidth="1"/>
    <col min="49" max="49" width="13.125" style="8" customWidth="1"/>
    <col min="50" max="50" width="17.875" style="8" customWidth="1"/>
    <col min="51" max="16384" width="9" style="8"/>
  </cols>
  <sheetData>
    <row r="1" ht="27" spans="1:50">
      <c r="A1" s="7" t="s">
        <v>0</v>
      </c>
      <c r="B1" s="9" t="s">
        <v>1</v>
      </c>
      <c r="C1" s="10"/>
      <c r="D1" s="11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27" t="s">
        <v>11</v>
      </c>
      <c r="N1" s="27" t="s">
        <v>12</v>
      </c>
      <c r="O1" s="27" t="s">
        <v>13</v>
      </c>
      <c r="P1" s="27" t="s">
        <v>14</v>
      </c>
      <c r="Q1" s="33" t="s">
        <v>15</v>
      </c>
      <c r="R1" s="34" t="s">
        <v>16</v>
      </c>
      <c r="S1" s="34" t="s">
        <v>17</v>
      </c>
      <c r="T1" s="34" t="s">
        <v>18</v>
      </c>
      <c r="U1" s="35" t="s">
        <v>19</v>
      </c>
      <c r="V1" s="36"/>
      <c r="W1" s="36"/>
      <c r="X1" s="36"/>
      <c r="Y1" s="42"/>
      <c r="Z1" s="43" t="s">
        <v>20</v>
      </c>
      <c r="AA1" s="11" t="s">
        <v>21</v>
      </c>
      <c r="AB1" s="11"/>
      <c r="AC1" s="11"/>
      <c r="AD1" s="11"/>
      <c r="AE1" s="11"/>
      <c r="AF1" s="11"/>
      <c r="AG1" s="11"/>
      <c r="AH1" s="68"/>
      <c r="AI1" s="69"/>
      <c r="AJ1" s="69"/>
      <c r="AK1" s="70"/>
      <c r="AL1" s="70"/>
      <c r="AO1" s="69"/>
      <c r="AP1" s="69"/>
      <c r="AQ1" s="70"/>
      <c r="AR1" s="70"/>
      <c r="AU1" s="69"/>
      <c r="AV1" s="69"/>
      <c r="AW1" s="70"/>
      <c r="AX1" s="70"/>
    </row>
    <row r="2" ht="40.5" spans="1:50">
      <c r="A2" s="7" t="s">
        <v>22</v>
      </c>
      <c r="B2" s="9" t="s">
        <v>1</v>
      </c>
      <c r="C2" s="10" t="s">
        <v>23</v>
      </c>
      <c r="D2" s="13" t="s">
        <v>24</v>
      </c>
      <c r="E2" s="12" t="s">
        <v>25</v>
      </c>
      <c r="F2" s="12" t="s">
        <v>26</v>
      </c>
      <c r="G2" s="12" t="s">
        <v>27</v>
      </c>
      <c r="H2" s="12" t="s">
        <v>28</v>
      </c>
      <c r="I2" s="12" t="s">
        <v>29</v>
      </c>
      <c r="J2" s="12" t="s">
        <v>30</v>
      </c>
      <c r="K2" s="12" t="s">
        <v>31</v>
      </c>
      <c r="L2" s="12" t="s">
        <v>32</v>
      </c>
      <c r="M2" s="12" t="s">
        <v>33</v>
      </c>
      <c r="N2" s="27" t="s">
        <v>34</v>
      </c>
      <c r="O2" s="27" t="s">
        <v>35</v>
      </c>
      <c r="P2" s="27" t="s">
        <v>36</v>
      </c>
      <c r="Q2" s="33" t="s">
        <v>37</v>
      </c>
      <c r="R2" s="34" t="s">
        <v>38</v>
      </c>
      <c r="S2" s="34" t="s">
        <v>39</v>
      </c>
      <c r="T2" s="34" t="s">
        <v>40</v>
      </c>
      <c r="U2" s="35" t="s">
        <v>41</v>
      </c>
      <c r="V2" s="36" t="s">
        <v>42</v>
      </c>
      <c r="W2" s="36" t="s">
        <v>43</v>
      </c>
      <c r="X2" s="36" t="s">
        <v>44</v>
      </c>
      <c r="Y2" s="44" t="s">
        <v>45</v>
      </c>
      <c r="Z2" s="45" t="s">
        <v>46</v>
      </c>
      <c r="AA2" s="46" t="s">
        <v>47</v>
      </c>
      <c r="AB2" s="47" t="s">
        <v>48</v>
      </c>
      <c r="AC2" s="48">
        <v>1</v>
      </c>
      <c r="AD2" s="48">
        <v>2</v>
      </c>
      <c r="AE2" s="48">
        <v>3</v>
      </c>
      <c r="AF2" s="48">
        <v>4</v>
      </c>
      <c r="AG2" s="48">
        <v>5</v>
      </c>
      <c r="AH2" s="68">
        <v>6</v>
      </c>
      <c r="AI2" s="69" t="s">
        <v>49</v>
      </c>
      <c r="AJ2" s="69" t="s">
        <v>50</v>
      </c>
      <c r="AK2" s="70" t="s">
        <v>51</v>
      </c>
      <c r="AL2" s="70" t="s">
        <v>52</v>
      </c>
      <c r="AO2" s="69" t="s">
        <v>49</v>
      </c>
      <c r="AP2" s="69" t="s">
        <v>50</v>
      </c>
      <c r="AQ2" s="70" t="s">
        <v>51</v>
      </c>
      <c r="AR2" s="70" t="s">
        <v>52</v>
      </c>
      <c r="AU2" s="69" t="s">
        <v>49</v>
      </c>
      <c r="AV2" s="69" t="s">
        <v>50</v>
      </c>
      <c r="AW2" s="70" t="s">
        <v>51</v>
      </c>
      <c r="AX2" s="70" t="s">
        <v>52</v>
      </c>
    </row>
    <row r="3" spans="1:50">
      <c r="A3" s="7" t="s">
        <v>53</v>
      </c>
      <c r="B3" s="9" t="s">
        <v>54</v>
      </c>
      <c r="C3" s="9"/>
      <c r="D3" s="9" t="s">
        <v>55</v>
      </c>
      <c r="E3" s="12" t="s">
        <v>54</v>
      </c>
      <c r="F3" s="12" t="s">
        <v>54</v>
      </c>
      <c r="G3" s="12" t="s">
        <v>54</v>
      </c>
      <c r="H3" s="12" t="s">
        <v>54</v>
      </c>
      <c r="I3" s="12" t="s">
        <v>54</v>
      </c>
      <c r="J3" s="12" t="s">
        <v>55</v>
      </c>
      <c r="K3" s="12" t="s">
        <v>55</v>
      </c>
      <c r="L3" s="12" t="s">
        <v>55</v>
      </c>
      <c r="M3" s="12" t="s">
        <v>55</v>
      </c>
      <c r="N3" s="12" t="s">
        <v>55</v>
      </c>
      <c r="O3" s="12" t="s">
        <v>56</v>
      </c>
      <c r="P3" s="27" t="s">
        <v>54</v>
      </c>
      <c r="Q3" s="33" t="s">
        <v>55</v>
      </c>
      <c r="R3" s="34" t="s">
        <v>55</v>
      </c>
      <c r="S3" s="34" t="s">
        <v>55</v>
      </c>
      <c r="T3" s="34" t="s">
        <v>54</v>
      </c>
      <c r="U3" s="35" t="s">
        <v>55</v>
      </c>
      <c r="V3" s="36"/>
      <c r="W3" s="36"/>
      <c r="X3" s="36"/>
      <c r="Y3" s="44"/>
      <c r="Z3" s="12"/>
      <c r="AA3" s="46"/>
      <c r="AB3" s="47"/>
      <c r="AC3" s="48"/>
      <c r="AD3" s="48"/>
      <c r="AE3" s="48"/>
      <c r="AF3" s="48"/>
      <c r="AG3" s="48"/>
      <c r="AH3" s="68"/>
      <c r="AI3" s="69"/>
      <c r="AJ3" s="69"/>
      <c r="AK3" s="70"/>
      <c r="AL3" s="70"/>
      <c r="AO3" s="69"/>
      <c r="AP3" s="69"/>
      <c r="AQ3" s="70"/>
      <c r="AR3" s="70"/>
      <c r="AU3" s="69"/>
      <c r="AV3" s="69"/>
      <c r="AW3" s="70"/>
      <c r="AX3" s="70"/>
    </row>
    <row r="4" ht="40.5" spans="1:50">
      <c r="A4" s="7" t="s">
        <v>57</v>
      </c>
      <c r="B4" s="9" t="s">
        <v>58</v>
      </c>
      <c r="C4" s="9" t="s">
        <v>59</v>
      </c>
      <c r="D4" s="10" t="s">
        <v>58</v>
      </c>
      <c r="E4" s="12" t="s">
        <v>58</v>
      </c>
      <c r="F4" s="12" t="s">
        <v>58</v>
      </c>
      <c r="G4" s="12" t="s">
        <v>58</v>
      </c>
      <c r="H4" s="12" t="s">
        <v>58</v>
      </c>
      <c r="I4" s="12" t="s">
        <v>58</v>
      </c>
      <c r="J4" s="12" t="s">
        <v>60</v>
      </c>
      <c r="K4" s="12" t="s">
        <v>61</v>
      </c>
      <c r="L4" s="12" t="s">
        <v>58</v>
      </c>
      <c r="M4" s="12" t="s">
        <v>58</v>
      </c>
      <c r="N4" s="12" t="s">
        <v>58</v>
      </c>
      <c r="O4" s="9" t="s">
        <v>62</v>
      </c>
      <c r="P4" s="27" t="s">
        <v>63</v>
      </c>
      <c r="Q4" s="33" t="s">
        <v>58</v>
      </c>
      <c r="R4" s="34" t="s">
        <v>64</v>
      </c>
      <c r="S4" s="34" t="s">
        <v>64</v>
      </c>
      <c r="T4" s="34" t="s">
        <v>58</v>
      </c>
      <c r="U4" s="35" t="s">
        <v>65</v>
      </c>
      <c r="V4" s="36"/>
      <c r="W4" s="36"/>
      <c r="X4" s="36"/>
      <c r="Y4" s="44"/>
      <c r="Z4" s="12"/>
      <c r="AA4" s="46"/>
      <c r="AB4" s="47"/>
      <c r="AC4" s="48"/>
      <c r="AD4" s="48"/>
      <c r="AE4" s="48"/>
      <c r="AF4" s="48"/>
      <c r="AG4" s="48"/>
      <c r="AH4" s="68"/>
      <c r="AI4" s="69"/>
      <c r="AJ4" s="69"/>
      <c r="AK4" s="70"/>
      <c r="AL4" s="70"/>
      <c r="AO4" s="69"/>
      <c r="AP4" s="69"/>
      <c r="AQ4" s="70"/>
      <c r="AR4" s="70"/>
      <c r="AU4" s="69"/>
      <c r="AV4" s="69"/>
      <c r="AW4" s="70"/>
      <c r="AX4" s="70"/>
    </row>
    <row r="5" ht="40.5" spans="2:53">
      <c r="B5" s="14">
        <v>1000</v>
      </c>
      <c r="C5" s="15" t="s">
        <v>66</v>
      </c>
      <c r="D5" s="15">
        <v>100000</v>
      </c>
      <c r="E5" s="14"/>
      <c r="F5" s="14"/>
      <c r="G5" s="14"/>
      <c r="H5" s="14"/>
      <c r="I5" s="28"/>
      <c r="J5" s="29" t="s">
        <v>67</v>
      </c>
      <c r="K5" s="28"/>
      <c r="L5" s="14"/>
      <c r="M5" s="14">
        <v>1</v>
      </c>
      <c r="N5" s="28"/>
      <c r="O5" s="28"/>
      <c r="P5" s="28"/>
      <c r="Q5" s="28"/>
      <c r="R5" s="37" t="s">
        <v>68</v>
      </c>
      <c r="S5" s="37" t="s">
        <v>68</v>
      </c>
      <c r="T5" s="14"/>
      <c r="U5" s="14" t="s">
        <v>69</v>
      </c>
      <c r="V5" s="14"/>
      <c r="W5" s="14">
        <v>1</v>
      </c>
      <c r="X5" s="14"/>
      <c r="Y5" s="49"/>
      <c r="Z5" s="15"/>
      <c r="AA5" s="50"/>
      <c r="AB5" s="51" t="s">
        <v>70</v>
      </c>
      <c r="AC5" s="51" t="s">
        <v>71</v>
      </c>
      <c r="AD5" s="14"/>
      <c r="AE5" s="52"/>
      <c r="AF5" s="14"/>
      <c r="AG5" s="14"/>
      <c r="AH5" s="14"/>
      <c r="AI5" s="14">
        <f>IF(AA5="",0,AA5)</f>
        <v>0</v>
      </c>
      <c r="AJ5" s="28">
        <v>1</v>
      </c>
      <c r="AK5" s="14" t="str">
        <f>IF(AJ5=1,"",IF(#REF!="","["&amp;B5&amp;","&amp;AI5&amp;",0]","["&amp;B5&amp;","&amp;AI5&amp;",0];"))</f>
        <v/>
      </c>
      <c r="AL5" s="71" t="e">
        <f>_xlfn.CONCAT(AK5:AK280)</f>
        <v>#REF!</v>
      </c>
      <c r="AM5" s="8" t="s">
        <v>72</v>
      </c>
      <c r="AN5" s="8" t="s">
        <v>73</v>
      </c>
      <c r="AO5" s="14">
        <f>IF(AA5="",0,AA5)</f>
        <v>0</v>
      </c>
      <c r="AP5" s="28"/>
      <c r="AQ5" s="14" t="e">
        <f>IF(AP5=1,"",IF(#REF!="","["&amp;B5&amp;","&amp;AO5&amp;",0]","["&amp;B5&amp;","&amp;AO5&amp;",0];"))</f>
        <v>#REF!</v>
      </c>
      <c r="AR5" s="71" t="e">
        <f>_xlfn.CONCAT(AQ5:AQ280)</f>
        <v>#REF!</v>
      </c>
      <c r="AS5" s="8" t="s">
        <v>72</v>
      </c>
      <c r="AU5" s="14">
        <v>1</v>
      </c>
      <c r="AV5" s="28"/>
      <c r="AW5" s="14" t="e">
        <f>IF(AV5=1,"",IF(#REF!="","["&amp;B5&amp;","&amp;AU5&amp;",0]","["&amp;B5&amp;","&amp;AU5&amp;",0];"))</f>
        <v>#REF!</v>
      </c>
      <c r="AX5" s="71" t="e">
        <f>_xlfn.CONCAT(AW5:AW280)</f>
        <v>#REF!</v>
      </c>
      <c r="BA5" s="8">
        <v>0</v>
      </c>
    </row>
    <row r="6" ht="40.5" spans="2:53">
      <c r="B6" s="14">
        <v>1020</v>
      </c>
      <c r="C6" s="16" t="s">
        <v>74</v>
      </c>
      <c r="D6" s="15">
        <v>100020</v>
      </c>
      <c r="E6" s="17"/>
      <c r="F6" s="17"/>
      <c r="G6" s="17"/>
      <c r="H6" s="17"/>
      <c r="I6" s="29"/>
      <c r="J6" s="29"/>
      <c r="K6" s="29"/>
      <c r="L6" s="17"/>
      <c r="M6" s="17">
        <v>1</v>
      </c>
      <c r="N6" s="29"/>
      <c r="O6" s="29"/>
      <c r="P6" s="29"/>
      <c r="Q6" s="29"/>
      <c r="R6" s="38" t="s">
        <v>68</v>
      </c>
      <c r="S6" s="38" t="s">
        <v>68</v>
      </c>
      <c r="T6" s="17"/>
      <c r="U6" s="17" t="s">
        <v>69</v>
      </c>
      <c r="V6" s="17"/>
      <c r="W6" s="17">
        <v>1</v>
      </c>
      <c r="X6" s="17"/>
      <c r="Y6" s="53"/>
      <c r="Z6" s="16"/>
      <c r="AA6" s="54"/>
      <c r="AB6" s="55" t="s">
        <v>70</v>
      </c>
      <c r="AC6" s="55" t="s">
        <v>71</v>
      </c>
      <c r="AD6" s="56"/>
      <c r="AE6" s="56"/>
      <c r="AF6" s="17"/>
      <c r="AG6" s="17"/>
      <c r="AH6" s="17"/>
      <c r="AI6" s="14">
        <f t="shared" ref="AI6:AI49" si="0">IF(AA6="",0,AA6)</f>
        <v>0</v>
      </c>
      <c r="AJ6" s="29">
        <v>1</v>
      </c>
      <c r="AK6" s="14" t="str">
        <f t="shared" ref="AK6:AK42" si="1">IF(AJ6=1,"",IF(B7="","["&amp;B6&amp;","&amp;AI6&amp;",0]","["&amp;B6&amp;","&amp;AI6&amp;",0];"))</f>
        <v/>
      </c>
      <c r="AL6" s="56"/>
      <c r="AO6" s="14">
        <f t="shared" ref="AO6:AO49" si="2">IF(AA6="",0,AA6)</f>
        <v>0</v>
      </c>
      <c r="AP6" s="29"/>
      <c r="AQ6" s="14" t="str">
        <f t="shared" ref="AQ6:AQ49" si="3">IF(AP6=1,"",IF(B7="","["&amp;B6&amp;","&amp;AO6&amp;",0]","["&amp;B6&amp;","&amp;AO6&amp;",0];"))</f>
        <v>[1020,0,0];</v>
      </c>
      <c r="AR6" s="56"/>
      <c r="AU6" s="14">
        <v>0</v>
      </c>
      <c r="AV6" s="29"/>
      <c r="AW6" s="14" t="str">
        <f t="shared" ref="AW6:AW49" si="4">IF(AV6=1,"",IF(B7="","["&amp;B6&amp;","&amp;AU6&amp;",0]","["&amp;B6&amp;","&amp;AU6&amp;",0];"))</f>
        <v>[1020,0,0];</v>
      </c>
      <c r="AX6" s="56"/>
      <c r="BA6" s="8">
        <v>1</v>
      </c>
    </row>
    <row r="7" s="1" customFormat="1" spans="1:53">
      <c r="A7" s="18" t="s">
        <v>22</v>
      </c>
      <c r="B7" s="14">
        <v>1021</v>
      </c>
      <c r="C7" s="19" t="s">
        <v>75</v>
      </c>
      <c r="D7" s="15">
        <v>100021</v>
      </c>
      <c r="E7" s="20">
        <v>7</v>
      </c>
      <c r="F7" s="20"/>
      <c r="G7" s="20">
        <v>1</v>
      </c>
      <c r="H7" s="20">
        <v>1</v>
      </c>
      <c r="I7" s="30"/>
      <c r="J7" s="30"/>
      <c r="K7" s="30"/>
      <c r="L7" s="20"/>
      <c r="M7" s="20">
        <v>1</v>
      </c>
      <c r="N7" s="30"/>
      <c r="O7" s="30"/>
      <c r="P7" s="30"/>
      <c r="Q7" s="30"/>
      <c r="R7" s="39" t="s">
        <v>68</v>
      </c>
      <c r="S7" s="39" t="s">
        <v>68</v>
      </c>
      <c r="T7" s="20"/>
      <c r="U7" s="20" t="s">
        <v>69</v>
      </c>
      <c r="V7" s="20">
        <v>0</v>
      </c>
      <c r="W7" s="20"/>
      <c r="X7" s="20"/>
      <c r="Y7" s="57"/>
      <c r="Z7" s="19"/>
      <c r="AA7" s="58"/>
      <c r="AB7" s="59">
        <v>0</v>
      </c>
      <c r="AC7" s="59"/>
      <c r="AD7" s="60"/>
      <c r="AE7" s="60"/>
      <c r="AF7" s="20"/>
      <c r="AG7" s="20"/>
      <c r="AH7" s="20"/>
      <c r="AI7" s="14">
        <f t="shared" si="0"/>
        <v>0</v>
      </c>
      <c r="AJ7" s="30">
        <v>1</v>
      </c>
      <c r="AK7" s="14" t="str">
        <f t="shared" si="1"/>
        <v/>
      </c>
      <c r="AL7" s="60"/>
      <c r="AO7" s="14">
        <f t="shared" si="2"/>
        <v>0</v>
      </c>
      <c r="AP7" s="30">
        <v>1</v>
      </c>
      <c r="AQ7" s="14" t="str">
        <f t="shared" si="3"/>
        <v/>
      </c>
      <c r="AR7" s="60"/>
      <c r="AU7" s="14">
        <v>0</v>
      </c>
      <c r="AV7" s="30">
        <v>1</v>
      </c>
      <c r="AW7" s="14" t="str">
        <f t="shared" si="4"/>
        <v/>
      </c>
      <c r="AX7" s="60"/>
      <c r="BA7" s="1">
        <v>1</v>
      </c>
    </row>
    <row r="8" s="1" customFormat="1" spans="1:53">
      <c r="A8" s="18" t="s">
        <v>22</v>
      </c>
      <c r="B8" s="14">
        <v>1022</v>
      </c>
      <c r="C8" s="19" t="s">
        <v>76</v>
      </c>
      <c r="D8" s="15">
        <v>100022</v>
      </c>
      <c r="E8" s="20">
        <v>7</v>
      </c>
      <c r="F8" s="20"/>
      <c r="G8" s="20">
        <v>1</v>
      </c>
      <c r="H8" s="20">
        <v>1</v>
      </c>
      <c r="I8" s="30"/>
      <c r="J8" s="30"/>
      <c r="K8" s="30"/>
      <c r="L8" s="20"/>
      <c r="M8" s="20">
        <v>1</v>
      </c>
      <c r="N8" s="30"/>
      <c r="O8" s="30"/>
      <c r="P8" s="30"/>
      <c r="Q8" s="30"/>
      <c r="R8" s="39" t="s">
        <v>68</v>
      </c>
      <c r="S8" s="39" t="s">
        <v>68</v>
      </c>
      <c r="T8" s="20"/>
      <c r="U8" s="20" t="s">
        <v>69</v>
      </c>
      <c r="V8" s="20">
        <v>0</v>
      </c>
      <c r="W8" s="20"/>
      <c r="X8" s="20"/>
      <c r="Y8" s="57"/>
      <c r="Z8" s="19"/>
      <c r="AA8" s="58"/>
      <c r="AB8" s="59">
        <v>0</v>
      </c>
      <c r="AC8" s="59"/>
      <c r="AD8" s="60"/>
      <c r="AE8" s="60"/>
      <c r="AF8" s="20"/>
      <c r="AG8" s="20"/>
      <c r="AH8" s="20"/>
      <c r="AI8" s="14">
        <f t="shared" si="0"/>
        <v>0</v>
      </c>
      <c r="AJ8" s="30">
        <v>1</v>
      </c>
      <c r="AK8" s="14" t="str">
        <f t="shared" si="1"/>
        <v/>
      </c>
      <c r="AL8" s="60"/>
      <c r="AO8" s="14">
        <f t="shared" si="2"/>
        <v>0</v>
      </c>
      <c r="AP8" s="30">
        <v>1</v>
      </c>
      <c r="AQ8" s="14" t="str">
        <f t="shared" si="3"/>
        <v/>
      </c>
      <c r="AR8" s="60"/>
      <c r="AU8" s="14">
        <v>0</v>
      </c>
      <c r="AV8" s="30">
        <v>1</v>
      </c>
      <c r="AW8" s="14" t="str">
        <f t="shared" si="4"/>
        <v/>
      </c>
      <c r="AX8" s="60"/>
      <c r="BA8" s="1">
        <v>1</v>
      </c>
    </row>
    <row r="9" ht="27" spans="2:53">
      <c r="B9" s="14">
        <v>1023</v>
      </c>
      <c r="C9" s="16" t="s">
        <v>77</v>
      </c>
      <c r="D9" s="15">
        <v>100023</v>
      </c>
      <c r="E9" s="17"/>
      <c r="F9" s="17"/>
      <c r="G9" s="17"/>
      <c r="H9" s="17"/>
      <c r="I9" s="29"/>
      <c r="J9" s="29"/>
      <c r="K9" s="29"/>
      <c r="L9" s="17"/>
      <c r="M9" s="17"/>
      <c r="N9" s="29"/>
      <c r="O9" s="29"/>
      <c r="P9" s="29"/>
      <c r="Q9" s="29"/>
      <c r="R9" s="38" t="s">
        <v>68</v>
      </c>
      <c r="S9" s="38" t="s">
        <v>68</v>
      </c>
      <c r="T9" s="17"/>
      <c r="U9" s="17" t="s">
        <v>69</v>
      </c>
      <c r="V9" s="17"/>
      <c r="W9" s="17">
        <v>1</v>
      </c>
      <c r="X9" s="17"/>
      <c r="Y9" s="53"/>
      <c r="Z9" s="16"/>
      <c r="AA9" s="54"/>
      <c r="AB9" s="17" t="s">
        <v>78</v>
      </c>
      <c r="AC9" s="55" t="s">
        <v>79</v>
      </c>
      <c r="AD9" s="56"/>
      <c r="AE9" s="56"/>
      <c r="AF9" s="17"/>
      <c r="AG9" s="17"/>
      <c r="AH9" s="17"/>
      <c r="AI9" s="14">
        <f t="shared" si="0"/>
        <v>0</v>
      </c>
      <c r="AJ9" s="29">
        <v>1</v>
      </c>
      <c r="AK9" s="14" t="str">
        <f t="shared" si="1"/>
        <v/>
      </c>
      <c r="AL9" s="56"/>
      <c r="AO9" s="14">
        <f t="shared" si="2"/>
        <v>0</v>
      </c>
      <c r="AP9" s="29"/>
      <c r="AQ9" s="14" t="str">
        <f t="shared" si="3"/>
        <v>[1023,0,0];</v>
      </c>
      <c r="AR9" s="56"/>
      <c r="AU9" s="14">
        <v>1</v>
      </c>
      <c r="AV9" s="29"/>
      <c r="AW9" s="14" t="str">
        <f t="shared" si="4"/>
        <v>[1023,1,0];</v>
      </c>
      <c r="AX9" s="56"/>
      <c r="BA9" s="8">
        <v>1</v>
      </c>
    </row>
    <row r="10" ht="40.5" spans="2:53">
      <c r="B10" s="14">
        <v>1024</v>
      </c>
      <c r="C10" s="16" t="s">
        <v>80</v>
      </c>
      <c r="D10" s="15">
        <v>100024</v>
      </c>
      <c r="E10" s="17"/>
      <c r="F10" s="17"/>
      <c r="G10" s="17"/>
      <c r="H10" s="17"/>
      <c r="I10" s="29"/>
      <c r="J10" s="29"/>
      <c r="K10" s="29"/>
      <c r="L10" s="17"/>
      <c r="M10" s="17"/>
      <c r="N10" s="29"/>
      <c r="O10" s="29"/>
      <c r="P10" s="29"/>
      <c r="Q10" s="29"/>
      <c r="R10" s="38" t="s">
        <v>68</v>
      </c>
      <c r="S10" s="38" t="s">
        <v>68</v>
      </c>
      <c r="T10" s="17"/>
      <c r="U10" s="17" t="s">
        <v>69</v>
      </c>
      <c r="V10" s="17">
        <v>0</v>
      </c>
      <c r="W10" s="17"/>
      <c r="X10" s="17"/>
      <c r="Y10" s="53"/>
      <c r="Z10" s="16"/>
      <c r="AA10" s="54"/>
      <c r="AB10" s="55" t="s">
        <v>81</v>
      </c>
      <c r="AC10" s="55" t="s">
        <v>82</v>
      </c>
      <c r="AD10" s="17"/>
      <c r="AE10" s="17"/>
      <c r="AF10" s="17"/>
      <c r="AG10" s="17"/>
      <c r="AH10" s="17"/>
      <c r="AI10" s="14">
        <f t="shared" si="0"/>
        <v>0</v>
      </c>
      <c r="AJ10" s="29">
        <v>1</v>
      </c>
      <c r="AK10" s="14" t="str">
        <f t="shared" si="1"/>
        <v/>
      </c>
      <c r="AL10" s="17"/>
      <c r="AO10" s="14">
        <f t="shared" si="2"/>
        <v>0</v>
      </c>
      <c r="AP10" s="29"/>
      <c r="AQ10" s="14" t="str">
        <f t="shared" si="3"/>
        <v>[1024,0,0];</v>
      </c>
      <c r="AR10" s="17"/>
      <c r="AU10" s="14">
        <v>0</v>
      </c>
      <c r="AV10" s="29"/>
      <c r="AW10" s="14" t="str">
        <f t="shared" si="4"/>
        <v>[1024,0,0];</v>
      </c>
      <c r="AX10" s="17"/>
      <c r="BA10" s="8">
        <v>1</v>
      </c>
    </row>
    <row r="11" ht="40.5" spans="2:53">
      <c r="B11" s="14">
        <v>1025</v>
      </c>
      <c r="C11" s="16" t="s">
        <v>83</v>
      </c>
      <c r="D11" s="15">
        <v>100025</v>
      </c>
      <c r="E11" s="17"/>
      <c r="F11" s="17"/>
      <c r="G11" s="17"/>
      <c r="H11" s="17"/>
      <c r="I11" s="29"/>
      <c r="J11" s="29"/>
      <c r="K11" s="29"/>
      <c r="L11" s="17"/>
      <c r="M11" s="17"/>
      <c r="N11" s="29"/>
      <c r="O11" s="29"/>
      <c r="P11" s="29"/>
      <c r="Q11" s="29"/>
      <c r="R11" s="38" t="s">
        <v>68</v>
      </c>
      <c r="S11" s="38" t="s">
        <v>68</v>
      </c>
      <c r="T11" s="17"/>
      <c r="U11" s="17" t="s">
        <v>69</v>
      </c>
      <c r="V11" s="17">
        <v>0</v>
      </c>
      <c r="W11" s="17"/>
      <c r="X11" s="17"/>
      <c r="Y11" s="53"/>
      <c r="Z11" s="16"/>
      <c r="AA11" s="54"/>
      <c r="AB11" s="55" t="s">
        <v>84</v>
      </c>
      <c r="AC11" s="55"/>
      <c r="AE11" s="17"/>
      <c r="AF11" s="17"/>
      <c r="AG11" s="17"/>
      <c r="AH11" s="17"/>
      <c r="AI11" s="14">
        <f t="shared" si="0"/>
        <v>0</v>
      </c>
      <c r="AJ11" s="29">
        <v>1</v>
      </c>
      <c r="AK11" s="14" t="str">
        <f t="shared" si="1"/>
        <v/>
      </c>
      <c r="AL11" s="17"/>
      <c r="AO11" s="14">
        <f t="shared" si="2"/>
        <v>0</v>
      </c>
      <c r="AP11" s="29"/>
      <c r="AQ11" s="14" t="str">
        <f t="shared" si="3"/>
        <v>[1025,0,0];</v>
      </c>
      <c r="AR11" s="17"/>
      <c r="AU11" s="14">
        <v>0</v>
      </c>
      <c r="AV11" s="29"/>
      <c r="AW11" s="14" t="str">
        <f t="shared" si="4"/>
        <v>[1025,0,0];</v>
      </c>
      <c r="AX11" s="17"/>
      <c r="BA11" s="8">
        <v>1</v>
      </c>
    </row>
    <row r="12" s="1" customFormat="1" spans="1:53">
      <c r="A12" s="18" t="s">
        <v>22</v>
      </c>
      <c r="B12" s="14">
        <v>1026</v>
      </c>
      <c r="C12" s="19" t="s">
        <v>85</v>
      </c>
      <c r="D12" s="15">
        <v>100026</v>
      </c>
      <c r="E12" s="20"/>
      <c r="F12" s="20"/>
      <c r="G12" s="20"/>
      <c r="H12" s="20"/>
      <c r="I12" s="30"/>
      <c r="J12" s="29"/>
      <c r="K12" s="29"/>
      <c r="L12" s="20"/>
      <c r="M12" s="20"/>
      <c r="N12" s="30"/>
      <c r="O12" s="30"/>
      <c r="P12" s="30"/>
      <c r="Q12" s="30"/>
      <c r="R12" s="39" t="s">
        <v>68</v>
      </c>
      <c r="S12" s="39" t="s">
        <v>68</v>
      </c>
      <c r="T12" s="20"/>
      <c r="U12" s="20" t="s">
        <v>86</v>
      </c>
      <c r="V12" s="20">
        <v>0</v>
      </c>
      <c r="W12" s="20"/>
      <c r="X12" s="20"/>
      <c r="Y12" s="57"/>
      <c r="Z12" s="19"/>
      <c r="AA12" s="58"/>
      <c r="AB12" s="20">
        <v>0</v>
      </c>
      <c r="AC12" s="20"/>
      <c r="AD12" s="20"/>
      <c r="AE12" s="20"/>
      <c r="AF12" s="20"/>
      <c r="AG12" s="20"/>
      <c r="AH12" s="20"/>
      <c r="AI12" s="14">
        <f t="shared" si="0"/>
        <v>0</v>
      </c>
      <c r="AJ12" s="30">
        <v>1</v>
      </c>
      <c r="AK12" s="14" t="str">
        <f t="shared" si="1"/>
        <v/>
      </c>
      <c r="AL12" s="20"/>
      <c r="AO12" s="14">
        <f t="shared" si="2"/>
        <v>0</v>
      </c>
      <c r="AP12" s="30">
        <v>1</v>
      </c>
      <c r="AQ12" s="14" t="str">
        <f t="shared" si="3"/>
        <v/>
      </c>
      <c r="AR12" s="20"/>
      <c r="AU12" s="14">
        <v>0</v>
      </c>
      <c r="AV12" s="30">
        <v>1</v>
      </c>
      <c r="AW12" s="14" t="str">
        <f t="shared" si="4"/>
        <v/>
      </c>
      <c r="AX12" s="20"/>
      <c r="BA12" s="1">
        <v>1</v>
      </c>
    </row>
    <row r="13" ht="40.5" spans="2:53">
      <c r="B13" s="14">
        <v>1027</v>
      </c>
      <c r="C13" s="16" t="s">
        <v>87</v>
      </c>
      <c r="D13" s="15">
        <v>100027</v>
      </c>
      <c r="E13" s="17"/>
      <c r="F13" s="17"/>
      <c r="G13" s="17"/>
      <c r="H13" s="17"/>
      <c r="I13" s="29"/>
      <c r="J13" s="29"/>
      <c r="K13" s="29"/>
      <c r="L13" s="17"/>
      <c r="M13" s="17"/>
      <c r="N13" s="29"/>
      <c r="O13" s="29"/>
      <c r="P13" s="29"/>
      <c r="Q13" s="29"/>
      <c r="R13" s="38" t="s">
        <v>68</v>
      </c>
      <c r="S13" s="38" t="s">
        <v>68</v>
      </c>
      <c r="T13" s="17"/>
      <c r="U13" s="17" t="s">
        <v>69</v>
      </c>
      <c r="V13" s="17">
        <v>0</v>
      </c>
      <c r="W13" s="17"/>
      <c r="X13" s="17"/>
      <c r="Y13" s="53"/>
      <c r="Z13" s="16"/>
      <c r="AA13" s="54"/>
      <c r="AB13" s="17">
        <v>0</v>
      </c>
      <c r="AC13" s="55" t="s">
        <v>88</v>
      </c>
      <c r="AD13" s="17"/>
      <c r="AE13" s="17"/>
      <c r="AF13" s="17"/>
      <c r="AG13" s="17"/>
      <c r="AH13" s="17"/>
      <c r="AI13" s="14">
        <f t="shared" si="0"/>
        <v>0</v>
      </c>
      <c r="AJ13" s="29">
        <v>1</v>
      </c>
      <c r="AK13" s="14" t="str">
        <f t="shared" si="1"/>
        <v/>
      </c>
      <c r="AL13" s="17"/>
      <c r="AO13" s="14">
        <f t="shared" si="2"/>
        <v>0</v>
      </c>
      <c r="AP13" s="29"/>
      <c r="AQ13" s="14" t="str">
        <f t="shared" si="3"/>
        <v>[1027,0,0];</v>
      </c>
      <c r="AR13" s="17"/>
      <c r="AU13" s="14">
        <v>0</v>
      </c>
      <c r="AV13" s="29"/>
      <c r="AW13" s="14" t="str">
        <f t="shared" si="4"/>
        <v>[1027,0,0];</v>
      </c>
      <c r="AX13" s="17"/>
      <c r="BA13" s="8">
        <v>1</v>
      </c>
    </row>
    <row r="14" ht="40.5" spans="2:53">
      <c r="B14" s="14">
        <v>1028</v>
      </c>
      <c r="C14" s="16" t="s">
        <v>89</v>
      </c>
      <c r="D14" s="15">
        <v>100028</v>
      </c>
      <c r="E14" s="17"/>
      <c r="F14" s="17"/>
      <c r="G14" s="17"/>
      <c r="H14" s="17"/>
      <c r="I14" s="29"/>
      <c r="J14" s="29"/>
      <c r="K14" s="29"/>
      <c r="L14" s="17"/>
      <c r="M14" s="17">
        <v>1</v>
      </c>
      <c r="N14" s="29"/>
      <c r="O14" s="29"/>
      <c r="P14" s="29"/>
      <c r="Q14" s="29"/>
      <c r="R14" s="38" t="s">
        <v>68</v>
      </c>
      <c r="S14" s="38" t="s">
        <v>68</v>
      </c>
      <c r="T14" s="17"/>
      <c r="U14" s="17" t="s">
        <v>69</v>
      </c>
      <c r="V14" s="17"/>
      <c r="W14" s="17">
        <v>1</v>
      </c>
      <c r="X14" s="17"/>
      <c r="Y14" s="53"/>
      <c r="Z14" s="16"/>
      <c r="AA14" s="54"/>
      <c r="AB14" s="55" t="s">
        <v>70</v>
      </c>
      <c r="AC14" s="55" t="s">
        <v>71</v>
      </c>
      <c r="AD14" s="56"/>
      <c r="AE14" s="56"/>
      <c r="AF14" s="17"/>
      <c r="AG14" s="17"/>
      <c r="AH14" s="17"/>
      <c r="AI14" s="14">
        <f t="shared" si="0"/>
        <v>0</v>
      </c>
      <c r="AJ14" s="29">
        <v>1</v>
      </c>
      <c r="AK14" s="14" t="str">
        <f t="shared" si="1"/>
        <v/>
      </c>
      <c r="AL14" s="56"/>
      <c r="AO14" s="14">
        <f t="shared" si="2"/>
        <v>0</v>
      </c>
      <c r="AP14" s="29"/>
      <c r="AQ14" s="14" t="str">
        <f t="shared" si="3"/>
        <v>[1028,0,0];</v>
      </c>
      <c r="AR14" s="56"/>
      <c r="AU14" s="14">
        <v>0</v>
      </c>
      <c r="AV14" s="29"/>
      <c r="AW14" s="14" t="str">
        <f t="shared" si="4"/>
        <v>[1028,0,0];</v>
      </c>
      <c r="AX14" s="56"/>
      <c r="BA14" s="8">
        <v>1</v>
      </c>
    </row>
    <row r="15" s="1" customFormat="1" spans="1:53">
      <c r="A15" s="18" t="s">
        <v>22</v>
      </c>
      <c r="B15" s="14">
        <v>1029</v>
      </c>
      <c r="C15" s="19" t="s">
        <v>90</v>
      </c>
      <c r="D15" s="15">
        <v>100029</v>
      </c>
      <c r="E15" s="20">
        <v>7</v>
      </c>
      <c r="F15" s="20"/>
      <c r="G15" s="20">
        <v>1</v>
      </c>
      <c r="H15" s="20">
        <v>1</v>
      </c>
      <c r="I15" s="30"/>
      <c r="J15" s="30"/>
      <c r="K15" s="30"/>
      <c r="L15" s="20"/>
      <c r="M15" s="20">
        <v>1</v>
      </c>
      <c r="N15" s="30"/>
      <c r="O15" s="30"/>
      <c r="P15" s="30"/>
      <c r="Q15" s="30"/>
      <c r="R15" s="39" t="s">
        <v>68</v>
      </c>
      <c r="S15" s="39" t="s">
        <v>68</v>
      </c>
      <c r="T15" s="20"/>
      <c r="U15" s="20" t="s">
        <v>69</v>
      </c>
      <c r="V15" s="20">
        <v>0</v>
      </c>
      <c r="W15" s="20"/>
      <c r="X15" s="20"/>
      <c r="Y15" s="57"/>
      <c r="Z15" s="19"/>
      <c r="AA15" s="58"/>
      <c r="AB15" s="59">
        <v>0</v>
      </c>
      <c r="AC15" s="59"/>
      <c r="AD15" s="60"/>
      <c r="AE15" s="60"/>
      <c r="AF15" s="20"/>
      <c r="AG15" s="20"/>
      <c r="AH15" s="20"/>
      <c r="AI15" s="14">
        <f t="shared" si="0"/>
        <v>0</v>
      </c>
      <c r="AJ15" s="30">
        <v>1</v>
      </c>
      <c r="AK15" s="14" t="str">
        <f t="shared" si="1"/>
        <v/>
      </c>
      <c r="AL15" s="60"/>
      <c r="AO15" s="14">
        <f t="shared" si="2"/>
        <v>0</v>
      </c>
      <c r="AP15" s="30">
        <v>1</v>
      </c>
      <c r="AQ15" s="14" t="str">
        <f t="shared" si="3"/>
        <v/>
      </c>
      <c r="AR15" s="60"/>
      <c r="AU15" s="14">
        <v>0</v>
      </c>
      <c r="AV15" s="30">
        <v>1</v>
      </c>
      <c r="AW15" s="14" t="str">
        <f t="shared" si="4"/>
        <v/>
      </c>
      <c r="AX15" s="60"/>
      <c r="BA15" s="1">
        <v>1</v>
      </c>
    </row>
    <row r="16" s="1" customFormat="1" spans="1:53">
      <c r="A16" s="18" t="s">
        <v>22</v>
      </c>
      <c r="B16" s="14">
        <v>1030</v>
      </c>
      <c r="C16" s="19" t="s">
        <v>91</v>
      </c>
      <c r="D16" s="15">
        <v>100030</v>
      </c>
      <c r="E16" s="20">
        <v>7</v>
      </c>
      <c r="F16" s="20"/>
      <c r="G16" s="20">
        <v>1</v>
      </c>
      <c r="H16" s="20">
        <v>1</v>
      </c>
      <c r="I16" s="30"/>
      <c r="J16" s="30"/>
      <c r="K16" s="30"/>
      <c r="L16" s="20"/>
      <c r="M16" s="20">
        <v>1</v>
      </c>
      <c r="N16" s="30"/>
      <c r="O16" s="30"/>
      <c r="P16" s="30"/>
      <c r="Q16" s="30"/>
      <c r="R16" s="39" t="s">
        <v>68</v>
      </c>
      <c r="S16" s="39" t="s">
        <v>68</v>
      </c>
      <c r="T16" s="20"/>
      <c r="U16" s="20" t="s">
        <v>69</v>
      </c>
      <c r="V16" s="20">
        <v>0</v>
      </c>
      <c r="W16" s="20"/>
      <c r="X16" s="20"/>
      <c r="Y16" s="57"/>
      <c r="Z16" s="19"/>
      <c r="AA16" s="58"/>
      <c r="AB16" s="59">
        <v>0</v>
      </c>
      <c r="AC16" s="59"/>
      <c r="AD16" s="60"/>
      <c r="AE16" s="60"/>
      <c r="AF16" s="20"/>
      <c r="AG16" s="20"/>
      <c r="AH16" s="20"/>
      <c r="AI16" s="14">
        <f t="shared" si="0"/>
        <v>0</v>
      </c>
      <c r="AJ16" s="30">
        <v>1</v>
      </c>
      <c r="AK16" s="14" t="str">
        <f t="shared" si="1"/>
        <v/>
      </c>
      <c r="AL16" s="60"/>
      <c r="AO16" s="14">
        <f t="shared" si="2"/>
        <v>0</v>
      </c>
      <c r="AP16" s="30">
        <v>1</v>
      </c>
      <c r="AQ16" s="14" t="str">
        <f t="shared" si="3"/>
        <v/>
      </c>
      <c r="AR16" s="60"/>
      <c r="AU16" s="14">
        <v>0</v>
      </c>
      <c r="AV16" s="30">
        <v>1</v>
      </c>
      <c r="AW16" s="14" t="str">
        <f t="shared" si="4"/>
        <v/>
      </c>
      <c r="AX16" s="60"/>
      <c r="BA16" s="1">
        <v>1</v>
      </c>
    </row>
    <row r="17" ht="27" spans="2:53">
      <c r="B17" s="14">
        <v>1031</v>
      </c>
      <c r="C17" s="16" t="s">
        <v>92</v>
      </c>
      <c r="D17" s="15">
        <v>100031</v>
      </c>
      <c r="E17" s="17"/>
      <c r="F17" s="17"/>
      <c r="G17" s="17"/>
      <c r="H17" s="17"/>
      <c r="I17" s="29"/>
      <c r="J17" s="29"/>
      <c r="K17" s="29"/>
      <c r="L17" s="17"/>
      <c r="M17" s="17"/>
      <c r="N17" s="29"/>
      <c r="O17" s="29"/>
      <c r="P17" s="29"/>
      <c r="Q17" s="29"/>
      <c r="R17" s="38" t="s">
        <v>68</v>
      </c>
      <c r="S17" s="38" t="s">
        <v>68</v>
      </c>
      <c r="T17" s="17"/>
      <c r="U17" s="17" t="s">
        <v>69</v>
      </c>
      <c r="V17" s="17"/>
      <c r="W17" s="17">
        <v>1</v>
      </c>
      <c r="X17" s="17"/>
      <c r="Y17" s="53"/>
      <c r="Z17" s="16"/>
      <c r="AA17" s="54"/>
      <c r="AB17" s="17" t="s">
        <v>78</v>
      </c>
      <c r="AC17" s="55" t="s">
        <v>79</v>
      </c>
      <c r="AD17" s="56"/>
      <c r="AE17" s="56"/>
      <c r="AF17" s="17"/>
      <c r="AG17" s="17"/>
      <c r="AH17" s="17"/>
      <c r="AI17" s="14">
        <f t="shared" si="0"/>
        <v>0</v>
      </c>
      <c r="AJ17" s="29">
        <v>1</v>
      </c>
      <c r="AK17" s="14" t="str">
        <f t="shared" si="1"/>
        <v/>
      </c>
      <c r="AL17" s="56"/>
      <c r="AO17" s="14">
        <f t="shared" si="2"/>
        <v>0</v>
      </c>
      <c r="AP17" s="29"/>
      <c r="AQ17" s="14" t="str">
        <f t="shared" si="3"/>
        <v>[1031,0,0];</v>
      </c>
      <c r="AR17" s="56"/>
      <c r="AU17" s="14">
        <v>1</v>
      </c>
      <c r="AV17" s="29"/>
      <c r="AW17" s="14" t="str">
        <f t="shared" si="4"/>
        <v>[1031,1,0];</v>
      </c>
      <c r="AX17" s="56"/>
      <c r="BA17" s="8">
        <v>1</v>
      </c>
    </row>
    <row r="18" ht="40.5" spans="2:53">
      <c r="B18" s="14">
        <v>1032</v>
      </c>
      <c r="C18" s="16" t="s">
        <v>93</v>
      </c>
      <c r="D18" s="15">
        <v>100032</v>
      </c>
      <c r="E18" s="17"/>
      <c r="F18" s="17"/>
      <c r="G18" s="17"/>
      <c r="H18" s="17"/>
      <c r="I18" s="29"/>
      <c r="J18" s="29"/>
      <c r="K18" s="29"/>
      <c r="L18" s="17"/>
      <c r="M18" s="17"/>
      <c r="N18" s="29"/>
      <c r="O18" s="29"/>
      <c r="P18" s="29"/>
      <c r="Q18" s="29"/>
      <c r="R18" s="38" t="s">
        <v>68</v>
      </c>
      <c r="S18" s="38" t="s">
        <v>68</v>
      </c>
      <c r="T18" s="17"/>
      <c r="U18" s="17" t="s">
        <v>69</v>
      </c>
      <c r="V18" s="17">
        <v>0</v>
      </c>
      <c r="W18" s="17"/>
      <c r="X18" s="17"/>
      <c r="Y18" s="53"/>
      <c r="Z18" s="16"/>
      <c r="AA18" s="54"/>
      <c r="AB18" s="55" t="s">
        <v>81</v>
      </c>
      <c r="AC18" s="55" t="s">
        <v>82</v>
      </c>
      <c r="AD18" s="17"/>
      <c r="AE18" s="17"/>
      <c r="AF18" s="17"/>
      <c r="AG18" s="17"/>
      <c r="AH18" s="17"/>
      <c r="AI18" s="14">
        <f t="shared" si="0"/>
        <v>0</v>
      </c>
      <c r="AJ18" s="29">
        <v>1</v>
      </c>
      <c r="AK18" s="14" t="str">
        <f t="shared" si="1"/>
        <v/>
      </c>
      <c r="AL18" s="17"/>
      <c r="AO18" s="14">
        <f t="shared" si="2"/>
        <v>0</v>
      </c>
      <c r="AP18" s="29"/>
      <c r="AQ18" s="14" t="str">
        <f t="shared" si="3"/>
        <v>[1032,0,0];</v>
      </c>
      <c r="AR18" s="17"/>
      <c r="AU18" s="14">
        <v>0</v>
      </c>
      <c r="AV18" s="29"/>
      <c r="AW18" s="14" t="str">
        <f t="shared" si="4"/>
        <v>[1032,0,0];</v>
      </c>
      <c r="AX18" s="17"/>
      <c r="BA18" s="8">
        <v>1</v>
      </c>
    </row>
    <row r="19" ht="40.5" spans="2:53">
      <c r="B19" s="14">
        <v>1033</v>
      </c>
      <c r="C19" s="16" t="s">
        <v>94</v>
      </c>
      <c r="D19" s="15">
        <v>100033</v>
      </c>
      <c r="E19" s="17"/>
      <c r="F19" s="17"/>
      <c r="G19" s="17"/>
      <c r="H19" s="17"/>
      <c r="I19" s="29"/>
      <c r="J19" s="29"/>
      <c r="K19" s="29"/>
      <c r="L19" s="17"/>
      <c r="M19" s="17"/>
      <c r="N19" s="29"/>
      <c r="O19" s="29"/>
      <c r="P19" s="29"/>
      <c r="Q19" s="29"/>
      <c r="R19" s="38" t="s">
        <v>68</v>
      </c>
      <c r="S19" s="38" t="s">
        <v>68</v>
      </c>
      <c r="T19" s="17"/>
      <c r="U19" s="17" t="s">
        <v>69</v>
      </c>
      <c r="V19" s="17">
        <v>0</v>
      </c>
      <c r="W19" s="17"/>
      <c r="X19" s="17"/>
      <c r="Y19" s="53"/>
      <c r="Z19" s="16"/>
      <c r="AA19" s="54"/>
      <c r="AB19" s="55" t="s">
        <v>84</v>
      </c>
      <c r="AC19" s="55"/>
      <c r="AE19" s="17"/>
      <c r="AF19" s="17"/>
      <c r="AG19" s="17"/>
      <c r="AH19" s="17"/>
      <c r="AI19" s="14">
        <f t="shared" si="0"/>
        <v>0</v>
      </c>
      <c r="AJ19" s="29">
        <v>1</v>
      </c>
      <c r="AK19" s="14" t="str">
        <f t="shared" si="1"/>
        <v/>
      </c>
      <c r="AL19" s="17"/>
      <c r="AO19" s="14">
        <f t="shared" si="2"/>
        <v>0</v>
      </c>
      <c r="AP19" s="29"/>
      <c r="AQ19" s="14" t="str">
        <f t="shared" si="3"/>
        <v>[1033,0,0];</v>
      </c>
      <c r="AR19" s="17"/>
      <c r="AU19" s="14">
        <v>0</v>
      </c>
      <c r="AV19" s="29"/>
      <c r="AW19" s="14" t="str">
        <f t="shared" si="4"/>
        <v>[1033,0,0];</v>
      </c>
      <c r="AX19" s="17"/>
      <c r="BA19" s="8">
        <v>1</v>
      </c>
    </row>
    <row r="20" spans="2:53">
      <c r="B20" s="14">
        <v>1034</v>
      </c>
      <c r="C20" s="21" t="s">
        <v>95</v>
      </c>
      <c r="D20" s="15">
        <v>100034</v>
      </c>
      <c r="E20" s="17"/>
      <c r="F20" s="17"/>
      <c r="G20" s="17"/>
      <c r="H20" s="17"/>
      <c r="I20" s="29"/>
      <c r="J20" s="29"/>
      <c r="K20" s="29"/>
      <c r="L20" s="17"/>
      <c r="M20" s="17"/>
      <c r="N20" s="29"/>
      <c r="O20" s="29"/>
      <c r="P20" s="29"/>
      <c r="Q20" s="29">
        <v>50</v>
      </c>
      <c r="R20" s="38" t="s">
        <v>68</v>
      </c>
      <c r="S20" s="38" t="s">
        <v>68</v>
      </c>
      <c r="T20" s="17"/>
      <c r="U20" s="17" t="s">
        <v>69</v>
      </c>
      <c r="V20" s="17">
        <v>0</v>
      </c>
      <c r="W20" s="17"/>
      <c r="X20" s="17"/>
      <c r="Y20" s="53"/>
      <c r="Z20" s="16"/>
      <c r="AA20" s="54"/>
      <c r="AB20" s="17">
        <v>0</v>
      </c>
      <c r="AC20" s="55"/>
      <c r="AD20" s="17"/>
      <c r="AE20" s="17"/>
      <c r="AF20" s="17"/>
      <c r="AG20" s="17"/>
      <c r="AH20" s="17"/>
      <c r="AI20" s="14">
        <f t="shared" si="0"/>
        <v>0</v>
      </c>
      <c r="AJ20" s="29">
        <v>1</v>
      </c>
      <c r="AK20" s="14" t="str">
        <f t="shared" si="1"/>
        <v/>
      </c>
      <c r="AL20" s="17"/>
      <c r="AO20" s="14">
        <f t="shared" si="2"/>
        <v>0</v>
      </c>
      <c r="AP20" s="29"/>
      <c r="AQ20" s="14" t="str">
        <f t="shared" si="3"/>
        <v>[1034,0,0];</v>
      </c>
      <c r="AR20" s="17"/>
      <c r="AU20" s="14">
        <v>0</v>
      </c>
      <c r="AV20" s="29"/>
      <c r="AW20" s="14" t="str">
        <f t="shared" si="4"/>
        <v>[1034,0,0];</v>
      </c>
      <c r="AX20" s="17"/>
      <c r="BA20" s="8">
        <v>1</v>
      </c>
    </row>
    <row r="21" ht="27" spans="2:53">
      <c r="B21" s="14">
        <v>1035</v>
      </c>
      <c r="C21" s="16" t="s">
        <v>96</v>
      </c>
      <c r="D21" s="15">
        <v>100035</v>
      </c>
      <c r="E21" s="17"/>
      <c r="F21" s="17"/>
      <c r="G21" s="17"/>
      <c r="H21" s="17"/>
      <c r="I21" s="29"/>
      <c r="J21" s="29"/>
      <c r="K21" s="29"/>
      <c r="L21" s="17"/>
      <c r="M21" s="17"/>
      <c r="N21" s="29"/>
      <c r="O21" s="29"/>
      <c r="P21" s="29"/>
      <c r="Q21" s="29"/>
      <c r="R21" s="38" t="s">
        <v>68</v>
      </c>
      <c r="S21" s="38" t="s">
        <v>68</v>
      </c>
      <c r="T21" s="17"/>
      <c r="U21" s="17" t="s">
        <v>69</v>
      </c>
      <c r="V21" s="17">
        <v>0</v>
      </c>
      <c r="W21" s="17"/>
      <c r="X21" s="17"/>
      <c r="Y21" s="53"/>
      <c r="Z21" s="16"/>
      <c r="AA21" s="54"/>
      <c r="AB21" s="17">
        <v>0</v>
      </c>
      <c r="AC21" s="55" t="s">
        <v>97</v>
      </c>
      <c r="AD21" s="17"/>
      <c r="AE21" s="17"/>
      <c r="AF21" s="17"/>
      <c r="AG21" s="17"/>
      <c r="AH21" s="17"/>
      <c r="AI21" s="14">
        <f t="shared" si="0"/>
        <v>0</v>
      </c>
      <c r="AJ21" s="29">
        <v>1</v>
      </c>
      <c r="AK21" s="14" t="str">
        <f t="shared" si="1"/>
        <v/>
      </c>
      <c r="AL21" s="17"/>
      <c r="AO21" s="14">
        <f t="shared" si="2"/>
        <v>0</v>
      </c>
      <c r="AP21" s="29"/>
      <c r="AQ21" s="14" t="str">
        <f t="shared" si="3"/>
        <v>[1035,0,0];</v>
      </c>
      <c r="AR21" s="17"/>
      <c r="AU21" s="14">
        <v>0</v>
      </c>
      <c r="AV21" s="29"/>
      <c r="AW21" s="14" t="str">
        <f t="shared" si="4"/>
        <v>[1035,0,0];</v>
      </c>
      <c r="AX21" s="17"/>
      <c r="BA21" s="8">
        <v>1</v>
      </c>
    </row>
    <row r="22" s="2" customFormat="1" ht="27" spans="1:53">
      <c r="A22" s="18" t="s">
        <v>22</v>
      </c>
      <c r="B22" s="14">
        <v>1036</v>
      </c>
      <c r="C22" s="22" t="s">
        <v>98</v>
      </c>
      <c r="D22" s="15">
        <v>100036</v>
      </c>
      <c r="E22" s="23"/>
      <c r="F22" s="23"/>
      <c r="G22" s="23"/>
      <c r="H22" s="23"/>
      <c r="I22" s="31"/>
      <c r="J22" s="31"/>
      <c r="K22" s="31"/>
      <c r="L22" s="23"/>
      <c r="M22" s="23"/>
      <c r="N22" s="31"/>
      <c r="O22" s="31"/>
      <c r="P22" s="31"/>
      <c r="Q22" s="31">
        <v>50</v>
      </c>
      <c r="R22" s="40" t="s">
        <v>68</v>
      </c>
      <c r="S22" s="40" t="s">
        <v>68</v>
      </c>
      <c r="T22" s="23"/>
      <c r="U22" s="23" t="s">
        <v>99</v>
      </c>
      <c r="V22" s="23">
        <v>0</v>
      </c>
      <c r="W22" s="23"/>
      <c r="X22" s="23"/>
      <c r="Y22" s="61"/>
      <c r="Z22" s="22"/>
      <c r="AA22" s="62"/>
      <c r="AB22" s="23">
        <v>0</v>
      </c>
      <c r="AC22" s="63" t="s">
        <v>100</v>
      </c>
      <c r="AD22" s="23"/>
      <c r="AE22" s="23"/>
      <c r="AF22" s="23"/>
      <c r="AG22" s="23"/>
      <c r="AH22" s="23"/>
      <c r="AI22" s="23">
        <f t="shared" si="0"/>
        <v>0</v>
      </c>
      <c r="AJ22" s="31">
        <v>1</v>
      </c>
      <c r="AK22" s="14" t="str">
        <f t="shared" si="1"/>
        <v/>
      </c>
      <c r="AL22" s="23"/>
      <c r="AO22" s="23">
        <f t="shared" si="2"/>
        <v>0</v>
      </c>
      <c r="AP22" s="31"/>
      <c r="AQ22" s="23" t="str">
        <f t="shared" si="3"/>
        <v>[1036,0,0];</v>
      </c>
      <c r="AR22" s="23"/>
      <c r="AU22" s="23">
        <v>0</v>
      </c>
      <c r="AV22" s="31">
        <v>1</v>
      </c>
      <c r="AW22" s="14" t="str">
        <f t="shared" si="4"/>
        <v/>
      </c>
      <c r="AX22" s="23"/>
      <c r="BA22" s="2">
        <v>1</v>
      </c>
    </row>
    <row r="23" ht="40.5" spans="2:53">
      <c r="B23" s="14">
        <v>1037</v>
      </c>
      <c r="C23" s="16" t="s">
        <v>101</v>
      </c>
      <c r="D23" s="15">
        <v>100037</v>
      </c>
      <c r="E23" s="17"/>
      <c r="F23" s="17"/>
      <c r="G23" s="17"/>
      <c r="H23" s="17"/>
      <c r="I23" s="29"/>
      <c r="J23" s="29"/>
      <c r="K23" s="29"/>
      <c r="L23" s="17"/>
      <c r="M23" s="17">
        <v>1</v>
      </c>
      <c r="N23" s="29"/>
      <c r="O23" s="29"/>
      <c r="P23" s="29"/>
      <c r="Q23" s="29"/>
      <c r="R23" s="38" t="s">
        <v>68</v>
      </c>
      <c r="S23" s="38" t="s">
        <v>68</v>
      </c>
      <c r="T23" s="17"/>
      <c r="U23" s="17" t="s">
        <v>69</v>
      </c>
      <c r="V23" s="17"/>
      <c r="W23" s="17">
        <v>1</v>
      </c>
      <c r="X23" s="17"/>
      <c r="Y23" s="53"/>
      <c r="Z23" s="16"/>
      <c r="AA23" s="54"/>
      <c r="AB23" s="55" t="s">
        <v>70</v>
      </c>
      <c r="AC23" s="55" t="s">
        <v>71</v>
      </c>
      <c r="AD23" s="56"/>
      <c r="AE23" s="56"/>
      <c r="AF23" s="17"/>
      <c r="AG23" s="17"/>
      <c r="AH23" s="17"/>
      <c r="AI23" s="14">
        <f t="shared" si="0"/>
        <v>0</v>
      </c>
      <c r="AJ23" s="29">
        <v>1</v>
      </c>
      <c r="AK23" s="14" t="str">
        <f t="shared" si="1"/>
        <v/>
      </c>
      <c r="AL23" s="56"/>
      <c r="AO23" s="14">
        <f t="shared" si="2"/>
        <v>0</v>
      </c>
      <c r="AP23" s="29"/>
      <c r="AQ23" s="14" t="str">
        <f t="shared" si="3"/>
        <v>[1037,0,0];</v>
      </c>
      <c r="AR23" s="56"/>
      <c r="AU23" s="14">
        <v>0</v>
      </c>
      <c r="AV23" s="29"/>
      <c r="AW23" s="14" t="str">
        <f t="shared" si="4"/>
        <v>[1037,0,0];</v>
      </c>
      <c r="AX23" s="56"/>
      <c r="BA23" s="8">
        <v>1</v>
      </c>
    </row>
    <row r="24" s="1" customFormat="1" spans="1:53">
      <c r="A24" s="18" t="s">
        <v>22</v>
      </c>
      <c r="B24" s="14">
        <v>1038</v>
      </c>
      <c r="C24" s="19" t="s">
        <v>102</v>
      </c>
      <c r="D24" s="15">
        <v>100038</v>
      </c>
      <c r="E24" s="20">
        <v>7</v>
      </c>
      <c r="F24" s="20"/>
      <c r="G24" s="20">
        <v>1</v>
      </c>
      <c r="H24" s="20">
        <v>1</v>
      </c>
      <c r="I24" s="30"/>
      <c r="J24" s="30"/>
      <c r="K24" s="30"/>
      <c r="L24" s="20"/>
      <c r="M24" s="20">
        <v>1</v>
      </c>
      <c r="N24" s="30"/>
      <c r="O24" s="30"/>
      <c r="P24" s="30"/>
      <c r="Q24" s="30"/>
      <c r="R24" s="39" t="s">
        <v>68</v>
      </c>
      <c r="S24" s="39" t="s">
        <v>68</v>
      </c>
      <c r="T24" s="20"/>
      <c r="U24" s="20" t="s">
        <v>69</v>
      </c>
      <c r="V24" s="20">
        <v>0</v>
      </c>
      <c r="W24" s="20"/>
      <c r="X24" s="20"/>
      <c r="Y24" s="57"/>
      <c r="Z24" s="19"/>
      <c r="AA24" s="58"/>
      <c r="AB24" s="59">
        <v>0</v>
      </c>
      <c r="AC24" s="59"/>
      <c r="AD24" s="60"/>
      <c r="AE24" s="60"/>
      <c r="AF24" s="20"/>
      <c r="AG24" s="20"/>
      <c r="AH24" s="20"/>
      <c r="AI24" s="14">
        <f t="shared" si="0"/>
        <v>0</v>
      </c>
      <c r="AJ24" s="30">
        <v>1</v>
      </c>
      <c r="AK24" s="14" t="str">
        <f t="shared" si="1"/>
        <v/>
      </c>
      <c r="AL24" s="60"/>
      <c r="AO24" s="14">
        <f t="shared" si="2"/>
        <v>0</v>
      </c>
      <c r="AP24" s="30">
        <v>1</v>
      </c>
      <c r="AQ24" s="14" t="str">
        <f t="shared" si="3"/>
        <v/>
      </c>
      <c r="AR24" s="60"/>
      <c r="AU24" s="14">
        <v>0</v>
      </c>
      <c r="AV24" s="30">
        <v>1</v>
      </c>
      <c r="AW24" s="14" t="str">
        <f t="shared" si="4"/>
        <v/>
      </c>
      <c r="AX24" s="60"/>
      <c r="BA24" s="1">
        <v>1</v>
      </c>
    </row>
    <row r="25" s="1" customFormat="1" spans="1:53">
      <c r="A25" s="18" t="s">
        <v>22</v>
      </c>
      <c r="B25" s="14">
        <v>1039</v>
      </c>
      <c r="C25" s="19" t="s">
        <v>103</v>
      </c>
      <c r="D25" s="15">
        <v>100039</v>
      </c>
      <c r="E25" s="20">
        <v>7</v>
      </c>
      <c r="F25" s="20"/>
      <c r="G25" s="20">
        <v>1</v>
      </c>
      <c r="H25" s="20">
        <v>1</v>
      </c>
      <c r="I25" s="30"/>
      <c r="J25" s="30"/>
      <c r="K25" s="30"/>
      <c r="L25" s="20"/>
      <c r="M25" s="20">
        <v>1</v>
      </c>
      <c r="N25" s="30"/>
      <c r="O25" s="30"/>
      <c r="P25" s="30"/>
      <c r="Q25" s="30"/>
      <c r="R25" s="39" t="s">
        <v>68</v>
      </c>
      <c r="S25" s="39" t="s">
        <v>68</v>
      </c>
      <c r="T25" s="20"/>
      <c r="U25" s="20" t="s">
        <v>69</v>
      </c>
      <c r="V25" s="20">
        <v>0</v>
      </c>
      <c r="W25" s="20"/>
      <c r="X25" s="20"/>
      <c r="Y25" s="57"/>
      <c r="Z25" s="19"/>
      <c r="AA25" s="58"/>
      <c r="AB25" s="59">
        <v>0</v>
      </c>
      <c r="AC25" s="59"/>
      <c r="AD25" s="60"/>
      <c r="AE25" s="60"/>
      <c r="AF25" s="20"/>
      <c r="AG25" s="20"/>
      <c r="AH25" s="20"/>
      <c r="AI25" s="14">
        <f t="shared" si="0"/>
        <v>0</v>
      </c>
      <c r="AJ25" s="30">
        <v>1</v>
      </c>
      <c r="AK25" s="14" t="str">
        <f t="shared" si="1"/>
        <v/>
      </c>
      <c r="AL25" s="60"/>
      <c r="AO25" s="14">
        <f t="shared" si="2"/>
        <v>0</v>
      </c>
      <c r="AP25" s="30">
        <v>1</v>
      </c>
      <c r="AQ25" s="14" t="str">
        <f t="shared" si="3"/>
        <v/>
      </c>
      <c r="AR25" s="60"/>
      <c r="AU25" s="14">
        <v>0</v>
      </c>
      <c r="AV25" s="30">
        <v>1</v>
      </c>
      <c r="AW25" s="14" t="str">
        <f t="shared" si="4"/>
        <v/>
      </c>
      <c r="AX25" s="60"/>
      <c r="BA25" s="1">
        <v>1</v>
      </c>
    </row>
    <row r="26" ht="27" spans="2:53">
      <c r="B26" s="14">
        <v>1040</v>
      </c>
      <c r="C26" s="16" t="s">
        <v>104</v>
      </c>
      <c r="D26" s="15">
        <v>100040</v>
      </c>
      <c r="E26" s="17"/>
      <c r="F26" s="17"/>
      <c r="G26" s="17"/>
      <c r="H26" s="17"/>
      <c r="I26" s="29"/>
      <c r="J26" s="29"/>
      <c r="K26" s="29"/>
      <c r="L26" s="17"/>
      <c r="M26" s="17"/>
      <c r="N26" s="29"/>
      <c r="O26" s="29"/>
      <c r="P26" s="29"/>
      <c r="Q26" s="29"/>
      <c r="R26" s="38" t="s">
        <v>68</v>
      </c>
      <c r="S26" s="38" t="s">
        <v>68</v>
      </c>
      <c r="T26" s="17"/>
      <c r="U26" s="17" t="s">
        <v>69</v>
      </c>
      <c r="V26" s="17"/>
      <c r="W26" s="17"/>
      <c r="X26" s="17"/>
      <c r="Y26" s="53"/>
      <c r="Z26" s="16"/>
      <c r="AA26" s="54"/>
      <c r="AB26" s="17">
        <v>0</v>
      </c>
      <c r="AC26" s="55" t="s">
        <v>97</v>
      </c>
      <c r="AD26" s="56"/>
      <c r="AE26" s="56"/>
      <c r="AF26" s="17"/>
      <c r="AG26" s="17"/>
      <c r="AH26" s="17"/>
      <c r="AI26" s="14">
        <f t="shared" si="0"/>
        <v>0</v>
      </c>
      <c r="AJ26" s="29">
        <v>1</v>
      </c>
      <c r="AK26" s="14" t="str">
        <f t="shared" si="1"/>
        <v/>
      </c>
      <c r="AL26" s="56"/>
      <c r="AO26" s="14">
        <f t="shared" si="2"/>
        <v>0</v>
      </c>
      <c r="AP26" s="29"/>
      <c r="AQ26" s="14" t="str">
        <f t="shared" si="3"/>
        <v>[1040,0,0];</v>
      </c>
      <c r="AR26" s="56"/>
      <c r="AU26" s="14">
        <v>0</v>
      </c>
      <c r="AV26" s="29"/>
      <c r="AW26" s="14" t="str">
        <f t="shared" si="4"/>
        <v>[1040,0,0];</v>
      </c>
      <c r="AX26" s="56"/>
      <c r="BA26" s="8">
        <v>1</v>
      </c>
    </row>
    <row r="27" ht="27" spans="2:53">
      <c r="B27" s="14">
        <v>1041</v>
      </c>
      <c r="C27" s="16" t="s">
        <v>105</v>
      </c>
      <c r="D27" s="15">
        <v>100041</v>
      </c>
      <c r="E27" s="17"/>
      <c r="F27" s="17"/>
      <c r="G27" s="17"/>
      <c r="H27" s="17"/>
      <c r="I27" s="29"/>
      <c r="J27" s="29"/>
      <c r="K27" s="29"/>
      <c r="L27" s="17"/>
      <c r="M27" s="17"/>
      <c r="N27" s="29"/>
      <c r="O27" s="29"/>
      <c r="P27" s="29"/>
      <c r="Q27" s="29"/>
      <c r="R27" s="38" t="s">
        <v>68</v>
      </c>
      <c r="S27" s="38" t="s">
        <v>68</v>
      </c>
      <c r="T27" s="17"/>
      <c r="U27" s="17" t="s">
        <v>69</v>
      </c>
      <c r="V27" s="17"/>
      <c r="W27" s="17">
        <v>1</v>
      </c>
      <c r="X27" s="17"/>
      <c r="Y27" s="53"/>
      <c r="Z27" s="16"/>
      <c r="AA27" s="54"/>
      <c r="AB27" s="17" t="s">
        <v>78</v>
      </c>
      <c r="AC27" s="55" t="s">
        <v>79</v>
      </c>
      <c r="AD27" s="56"/>
      <c r="AE27" s="56"/>
      <c r="AF27" s="17"/>
      <c r="AG27" s="17"/>
      <c r="AH27" s="17"/>
      <c r="AI27" s="14">
        <f t="shared" si="0"/>
        <v>0</v>
      </c>
      <c r="AJ27" s="29">
        <v>1</v>
      </c>
      <c r="AK27" s="14" t="str">
        <f t="shared" si="1"/>
        <v/>
      </c>
      <c r="AL27" s="56"/>
      <c r="AO27" s="14">
        <f t="shared" si="2"/>
        <v>0</v>
      </c>
      <c r="AP27" s="29"/>
      <c r="AQ27" s="14" t="str">
        <f t="shared" si="3"/>
        <v>[1041,0,0];</v>
      </c>
      <c r="AR27" s="56"/>
      <c r="AU27" s="14">
        <v>1</v>
      </c>
      <c r="AV27" s="29"/>
      <c r="AW27" s="14" t="str">
        <f t="shared" si="4"/>
        <v>[1041,1,0];</v>
      </c>
      <c r="AX27" s="56"/>
      <c r="BA27" s="8">
        <v>1</v>
      </c>
    </row>
    <row r="28" ht="40.5" spans="2:53">
      <c r="B28" s="14">
        <v>1042</v>
      </c>
      <c r="C28" s="16" t="s">
        <v>106</v>
      </c>
      <c r="D28" s="15">
        <v>100042</v>
      </c>
      <c r="E28" s="17"/>
      <c r="F28" s="17"/>
      <c r="G28" s="17"/>
      <c r="H28" s="17"/>
      <c r="I28" s="29"/>
      <c r="J28" s="29"/>
      <c r="K28" s="29"/>
      <c r="L28" s="17"/>
      <c r="M28" s="17"/>
      <c r="N28" s="29"/>
      <c r="O28" s="29"/>
      <c r="P28" s="29"/>
      <c r="Q28" s="29"/>
      <c r="R28" s="38" t="s">
        <v>68</v>
      </c>
      <c r="S28" s="38" t="s">
        <v>68</v>
      </c>
      <c r="T28" s="17"/>
      <c r="U28" s="17" t="s">
        <v>69</v>
      </c>
      <c r="V28" s="17">
        <v>0</v>
      </c>
      <c r="W28" s="17"/>
      <c r="X28" s="17"/>
      <c r="Y28" s="53"/>
      <c r="Z28" s="16"/>
      <c r="AA28" s="54"/>
      <c r="AB28" s="55" t="s">
        <v>81</v>
      </c>
      <c r="AC28" s="55" t="s">
        <v>82</v>
      </c>
      <c r="AD28" s="17"/>
      <c r="AE28" s="17"/>
      <c r="AF28" s="17"/>
      <c r="AG28" s="17"/>
      <c r="AH28" s="17"/>
      <c r="AI28" s="14">
        <f t="shared" si="0"/>
        <v>0</v>
      </c>
      <c r="AJ28" s="29">
        <v>1</v>
      </c>
      <c r="AK28" s="14" t="str">
        <f t="shared" si="1"/>
        <v/>
      </c>
      <c r="AL28" s="17"/>
      <c r="AO28" s="14">
        <f t="shared" si="2"/>
        <v>0</v>
      </c>
      <c r="AP28" s="29"/>
      <c r="AQ28" s="14" t="str">
        <f t="shared" si="3"/>
        <v>[1042,0,0];</v>
      </c>
      <c r="AR28" s="17"/>
      <c r="AU28" s="14">
        <v>0</v>
      </c>
      <c r="AV28" s="29"/>
      <c r="AW28" s="14" t="str">
        <f t="shared" si="4"/>
        <v>[1042,0,0];</v>
      </c>
      <c r="AX28" s="17"/>
      <c r="BA28" s="8">
        <v>1</v>
      </c>
    </row>
    <row r="29" ht="40.5" spans="2:53">
      <c r="B29" s="14">
        <v>1043</v>
      </c>
      <c r="C29" s="16" t="s">
        <v>107</v>
      </c>
      <c r="D29" s="15">
        <v>100043</v>
      </c>
      <c r="E29" s="17"/>
      <c r="F29" s="17"/>
      <c r="G29" s="17"/>
      <c r="H29" s="17"/>
      <c r="I29" s="29"/>
      <c r="J29" s="29"/>
      <c r="K29" s="29"/>
      <c r="L29" s="17"/>
      <c r="M29" s="17"/>
      <c r="N29" s="29"/>
      <c r="O29" s="29"/>
      <c r="P29" s="29"/>
      <c r="Q29" s="29"/>
      <c r="R29" s="38" t="s">
        <v>68</v>
      </c>
      <c r="S29" s="38" t="s">
        <v>68</v>
      </c>
      <c r="T29" s="17"/>
      <c r="U29" s="17" t="s">
        <v>69</v>
      </c>
      <c r="V29" s="17">
        <v>0</v>
      </c>
      <c r="W29" s="17"/>
      <c r="X29" s="17"/>
      <c r="Y29" s="53"/>
      <c r="Z29" s="16"/>
      <c r="AA29" s="54"/>
      <c r="AB29" s="55" t="s">
        <v>84</v>
      </c>
      <c r="AC29" s="55"/>
      <c r="AD29" s="17"/>
      <c r="AE29" s="17"/>
      <c r="AF29" s="17"/>
      <c r="AG29" s="17"/>
      <c r="AH29" s="17"/>
      <c r="AI29" s="14">
        <f t="shared" si="0"/>
        <v>0</v>
      </c>
      <c r="AJ29" s="29">
        <v>1</v>
      </c>
      <c r="AK29" s="14" t="str">
        <f t="shared" si="1"/>
        <v/>
      </c>
      <c r="AL29" s="17"/>
      <c r="AO29" s="14">
        <f t="shared" si="2"/>
        <v>0</v>
      </c>
      <c r="AP29" s="29"/>
      <c r="AQ29" s="14" t="str">
        <f t="shared" si="3"/>
        <v>[1043,0,0];</v>
      </c>
      <c r="AR29" s="17"/>
      <c r="AU29" s="14">
        <v>0</v>
      </c>
      <c r="AV29" s="29"/>
      <c r="AW29" s="14" t="str">
        <f t="shared" si="4"/>
        <v>[1043,0,0];</v>
      </c>
      <c r="AX29" s="17"/>
      <c r="BA29" s="8">
        <v>1</v>
      </c>
    </row>
    <row r="30" ht="40.5" spans="2:53">
      <c r="B30" s="14">
        <v>1044</v>
      </c>
      <c r="C30" s="16" t="s">
        <v>108</v>
      </c>
      <c r="D30" s="15">
        <v>100044</v>
      </c>
      <c r="E30" s="17"/>
      <c r="F30" s="17"/>
      <c r="G30" s="17"/>
      <c r="H30" s="17"/>
      <c r="I30" s="29"/>
      <c r="J30" s="29"/>
      <c r="K30" s="29"/>
      <c r="L30" s="17"/>
      <c r="M30" s="17"/>
      <c r="N30" s="29"/>
      <c r="O30" s="29"/>
      <c r="P30" s="29"/>
      <c r="Q30" s="29"/>
      <c r="R30" s="38" t="s">
        <v>68</v>
      </c>
      <c r="S30" s="38" t="s">
        <v>68</v>
      </c>
      <c r="T30" s="17"/>
      <c r="U30" s="17" t="s">
        <v>69</v>
      </c>
      <c r="V30" s="17">
        <v>0</v>
      </c>
      <c r="W30" s="17"/>
      <c r="X30" s="17"/>
      <c r="Y30" s="53"/>
      <c r="Z30" s="16"/>
      <c r="AA30" s="54">
        <v>1</v>
      </c>
      <c r="AB30" s="55" t="s">
        <v>109</v>
      </c>
      <c r="AC30" s="55" t="s">
        <v>110</v>
      </c>
      <c r="AD30" s="17"/>
      <c r="AE30" s="17"/>
      <c r="AF30" s="17"/>
      <c r="AG30" s="17"/>
      <c r="AH30" s="17"/>
      <c r="AI30" s="14">
        <f t="shared" si="0"/>
        <v>1</v>
      </c>
      <c r="AJ30" s="29">
        <v>1</v>
      </c>
      <c r="AK30" s="14" t="str">
        <f t="shared" si="1"/>
        <v/>
      </c>
      <c r="AL30" s="17"/>
      <c r="AO30" s="14">
        <f t="shared" si="2"/>
        <v>1</v>
      </c>
      <c r="AP30" s="29"/>
      <c r="AQ30" s="14" t="str">
        <f t="shared" si="3"/>
        <v>[1044,1,0];</v>
      </c>
      <c r="AR30" s="17"/>
      <c r="AU30" s="14">
        <v>1</v>
      </c>
      <c r="AV30" s="29">
        <v>1</v>
      </c>
      <c r="AW30" s="14" t="str">
        <f t="shared" si="4"/>
        <v/>
      </c>
      <c r="AX30" s="17"/>
      <c r="BA30" s="8">
        <v>1</v>
      </c>
    </row>
    <row r="31" ht="40.5" spans="2:53">
      <c r="B31" s="14">
        <v>1045</v>
      </c>
      <c r="C31" s="16" t="s">
        <v>111</v>
      </c>
      <c r="D31" s="15">
        <v>100045</v>
      </c>
      <c r="E31" s="17"/>
      <c r="F31" s="17"/>
      <c r="G31" s="17"/>
      <c r="H31" s="17"/>
      <c r="I31" s="29"/>
      <c r="J31" s="29"/>
      <c r="K31" s="29"/>
      <c r="L31" s="17"/>
      <c r="M31" s="17"/>
      <c r="N31" s="29"/>
      <c r="O31" s="29"/>
      <c r="P31" s="29"/>
      <c r="Q31" s="29"/>
      <c r="R31" s="38" t="s">
        <v>68</v>
      </c>
      <c r="S31" s="38" t="s">
        <v>68</v>
      </c>
      <c r="T31" s="17"/>
      <c r="U31" s="17" t="s">
        <v>69</v>
      </c>
      <c r="V31" s="17">
        <v>0</v>
      </c>
      <c r="W31" s="17"/>
      <c r="X31" s="17"/>
      <c r="Y31" s="53"/>
      <c r="Z31" s="16"/>
      <c r="AA31" s="54"/>
      <c r="AB31" s="55" t="s">
        <v>84</v>
      </c>
      <c r="AC31" s="55"/>
      <c r="AD31" s="17"/>
      <c r="AE31" s="17"/>
      <c r="AF31" s="17"/>
      <c r="AG31" s="17"/>
      <c r="AH31" s="17"/>
      <c r="AI31" s="14">
        <f t="shared" si="0"/>
        <v>0</v>
      </c>
      <c r="AJ31" s="29">
        <v>1</v>
      </c>
      <c r="AK31" s="14" t="str">
        <f t="shared" si="1"/>
        <v/>
      </c>
      <c r="AL31" s="17"/>
      <c r="AO31" s="14">
        <f t="shared" si="2"/>
        <v>0</v>
      </c>
      <c r="AP31" s="29"/>
      <c r="AQ31" s="14" t="str">
        <f t="shared" si="3"/>
        <v>[1045,0,0];</v>
      </c>
      <c r="AR31" s="17"/>
      <c r="AU31" s="14">
        <v>0</v>
      </c>
      <c r="AV31" s="29">
        <v>1</v>
      </c>
      <c r="AW31" s="14" t="str">
        <f t="shared" si="4"/>
        <v/>
      </c>
      <c r="AX31" s="17"/>
      <c r="BA31" s="8">
        <v>1</v>
      </c>
    </row>
    <row r="32" ht="40.5" spans="2:53">
      <c r="B32" s="14">
        <v>1046</v>
      </c>
      <c r="C32" s="16" t="s">
        <v>112</v>
      </c>
      <c r="D32" s="15">
        <v>100046</v>
      </c>
      <c r="E32" s="17"/>
      <c r="F32" s="17"/>
      <c r="G32" s="17"/>
      <c r="H32" s="17"/>
      <c r="I32" s="29"/>
      <c r="J32" s="29"/>
      <c r="K32" s="29"/>
      <c r="L32" s="17"/>
      <c r="M32" s="17"/>
      <c r="N32" s="29"/>
      <c r="O32" s="29"/>
      <c r="P32" s="29"/>
      <c r="Q32" s="29"/>
      <c r="R32" s="38" t="s">
        <v>68</v>
      </c>
      <c r="S32" s="38" t="s">
        <v>68</v>
      </c>
      <c r="T32" s="17"/>
      <c r="U32" s="17" t="s">
        <v>69</v>
      </c>
      <c r="V32" s="17"/>
      <c r="W32" s="17">
        <v>1</v>
      </c>
      <c r="X32" s="17"/>
      <c r="Y32" s="53"/>
      <c r="Z32" s="16"/>
      <c r="AA32" s="54"/>
      <c r="AB32" s="17">
        <v>0</v>
      </c>
      <c r="AC32" s="55" t="s">
        <v>113</v>
      </c>
      <c r="AD32" s="17"/>
      <c r="AE32" s="17"/>
      <c r="AF32" s="17"/>
      <c r="AG32" s="17"/>
      <c r="AH32" s="17"/>
      <c r="AI32" s="14">
        <f t="shared" si="0"/>
        <v>0</v>
      </c>
      <c r="AJ32" s="29">
        <v>1</v>
      </c>
      <c r="AK32" s="14" t="str">
        <f t="shared" si="1"/>
        <v/>
      </c>
      <c r="AL32" s="17"/>
      <c r="AO32" s="14">
        <f t="shared" si="2"/>
        <v>0</v>
      </c>
      <c r="AP32" s="29"/>
      <c r="AQ32" s="14" t="str">
        <f t="shared" si="3"/>
        <v>[1046,0,0];</v>
      </c>
      <c r="AR32" s="17"/>
      <c r="AU32" s="14">
        <v>0</v>
      </c>
      <c r="AV32" s="29">
        <v>1</v>
      </c>
      <c r="AW32" s="14" t="str">
        <f t="shared" si="4"/>
        <v/>
      </c>
      <c r="AX32" s="17"/>
      <c r="BA32" s="8">
        <v>1</v>
      </c>
    </row>
    <row r="33" s="1" customFormat="1" ht="40.5" spans="1:53">
      <c r="A33" s="18" t="s">
        <v>22</v>
      </c>
      <c r="B33" s="14">
        <v>1047</v>
      </c>
      <c r="C33" s="19" t="s">
        <v>114</v>
      </c>
      <c r="D33" s="15">
        <v>100047</v>
      </c>
      <c r="E33" s="20"/>
      <c r="F33" s="20"/>
      <c r="G33" s="20"/>
      <c r="H33" s="20"/>
      <c r="I33" s="30"/>
      <c r="J33" s="29"/>
      <c r="K33" s="29"/>
      <c r="L33" s="20"/>
      <c r="M33" s="20"/>
      <c r="N33" s="30"/>
      <c r="O33" s="30"/>
      <c r="P33" s="30"/>
      <c r="Q33" s="30">
        <v>60</v>
      </c>
      <c r="R33" s="39" t="s">
        <v>68</v>
      </c>
      <c r="S33" s="39" t="s">
        <v>68</v>
      </c>
      <c r="T33" s="20"/>
      <c r="U33" s="20" t="s">
        <v>86</v>
      </c>
      <c r="V33" s="20">
        <v>0</v>
      </c>
      <c r="W33" s="20"/>
      <c r="X33" s="20"/>
      <c r="Y33" s="57"/>
      <c r="Z33" s="19"/>
      <c r="AA33" s="58"/>
      <c r="AB33" s="20">
        <v>0</v>
      </c>
      <c r="AC33" s="59" t="s">
        <v>115</v>
      </c>
      <c r="AD33" s="20"/>
      <c r="AE33" s="20"/>
      <c r="AF33" s="20"/>
      <c r="AG33" s="20"/>
      <c r="AH33" s="20"/>
      <c r="AI33" s="14">
        <f t="shared" si="0"/>
        <v>0</v>
      </c>
      <c r="AJ33" s="30">
        <v>1</v>
      </c>
      <c r="AK33" s="14" t="str">
        <f t="shared" si="1"/>
        <v/>
      </c>
      <c r="AL33" s="20"/>
      <c r="AO33" s="14">
        <f t="shared" si="2"/>
        <v>0</v>
      </c>
      <c r="AP33" s="30">
        <v>1</v>
      </c>
      <c r="AQ33" s="14" t="str">
        <f t="shared" si="3"/>
        <v/>
      </c>
      <c r="AR33" s="20"/>
      <c r="AU33" s="14">
        <v>0</v>
      </c>
      <c r="AV33" s="30">
        <v>1</v>
      </c>
      <c r="AW33" s="14" t="str">
        <f t="shared" si="4"/>
        <v/>
      </c>
      <c r="AX33" s="20"/>
      <c r="BA33" s="1">
        <v>1</v>
      </c>
    </row>
    <row r="34" ht="40.5" spans="2:53">
      <c r="B34" s="14">
        <v>1048</v>
      </c>
      <c r="C34" s="16" t="s">
        <v>116</v>
      </c>
      <c r="D34" s="15">
        <v>100048</v>
      </c>
      <c r="E34" s="17"/>
      <c r="F34" s="17"/>
      <c r="G34" s="17"/>
      <c r="H34" s="17"/>
      <c r="I34" s="29"/>
      <c r="J34" s="29"/>
      <c r="K34" s="29"/>
      <c r="L34" s="17"/>
      <c r="M34" s="17"/>
      <c r="N34" s="29"/>
      <c r="O34" s="29"/>
      <c r="P34" s="29"/>
      <c r="Q34" s="29"/>
      <c r="R34" s="38" t="s">
        <v>68</v>
      </c>
      <c r="S34" s="38" t="s">
        <v>68</v>
      </c>
      <c r="T34" s="17"/>
      <c r="U34" s="17" t="s">
        <v>69</v>
      </c>
      <c r="V34" s="17">
        <v>0</v>
      </c>
      <c r="W34" s="17"/>
      <c r="X34" s="17"/>
      <c r="Y34" s="53"/>
      <c r="Z34" s="16"/>
      <c r="AA34" s="54"/>
      <c r="AB34" s="55">
        <v>0</v>
      </c>
      <c r="AC34" s="55" t="s">
        <v>88</v>
      </c>
      <c r="AD34" s="17"/>
      <c r="AE34" s="17"/>
      <c r="AF34" s="17"/>
      <c r="AG34" s="17"/>
      <c r="AH34" s="17"/>
      <c r="AI34" s="14">
        <f t="shared" si="0"/>
        <v>0</v>
      </c>
      <c r="AJ34" s="29">
        <v>1</v>
      </c>
      <c r="AK34" s="14" t="str">
        <f t="shared" si="1"/>
        <v/>
      </c>
      <c r="AL34" s="17"/>
      <c r="AO34" s="14">
        <f t="shared" si="2"/>
        <v>0</v>
      </c>
      <c r="AP34" s="29"/>
      <c r="AQ34" s="14" t="str">
        <f t="shared" si="3"/>
        <v>[1048,0,0];</v>
      </c>
      <c r="AR34" s="17"/>
      <c r="AU34" s="14">
        <v>0</v>
      </c>
      <c r="AV34" s="29">
        <v>1</v>
      </c>
      <c r="AW34" s="14" t="str">
        <f t="shared" si="4"/>
        <v/>
      </c>
      <c r="AX34" s="17"/>
      <c r="BA34" s="8">
        <v>1</v>
      </c>
    </row>
    <row r="35" ht="40.5" spans="2:53">
      <c r="B35" s="14">
        <v>1049</v>
      </c>
      <c r="C35" s="16" t="s">
        <v>117</v>
      </c>
      <c r="D35" s="15">
        <v>100049</v>
      </c>
      <c r="E35" s="17"/>
      <c r="F35" s="17"/>
      <c r="G35" s="17"/>
      <c r="H35" s="17"/>
      <c r="I35" s="29"/>
      <c r="J35" s="29"/>
      <c r="K35" s="29"/>
      <c r="L35" s="17"/>
      <c r="M35" s="17"/>
      <c r="N35" s="29"/>
      <c r="O35" s="29"/>
      <c r="P35" s="29"/>
      <c r="Q35" s="29"/>
      <c r="R35" s="38" t="s">
        <v>68</v>
      </c>
      <c r="S35" s="38" t="s">
        <v>68</v>
      </c>
      <c r="T35" s="17"/>
      <c r="U35" s="17" t="s">
        <v>69</v>
      </c>
      <c r="V35" s="17">
        <v>0</v>
      </c>
      <c r="W35" s="17"/>
      <c r="X35" s="17"/>
      <c r="Y35" s="53"/>
      <c r="Z35" s="16"/>
      <c r="AA35" s="54"/>
      <c r="AB35" s="17">
        <v>0</v>
      </c>
      <c r="AC35" s="55" t="s">
        <v>118</v>
      </c>
      <c r="AD35" s="17"/>
      <c r="AE35" s="17"/>
      <c r="AF35" s="17"/>
      <c r="AG35" s="17"/>
      <c r="AH35" s="17"/>
      <c r="AI35" s="14">
        <f t="shared" si="0"/>
        <v>0</v>
      </c>
      <c r="AJ35" s="29">
        <v>1</v>
      </c>
      <c r="AK35" s="14" t="str">
        <f t="shared" si="1"/>
        <v/>
      </c>
      <c r="AL35" s="17"/>
      <c r="AO35" s="14">
        <f t="shared" si="2"/>
        <v>0</v>
      </c>
      <c r="AP35" s="29"/>
      <c r="AQ35" s="14" t="str">
        <f t="shared" si="3"/>
        <v>[1049,0,0];</v>
      </c>
      <c r="AR35" s="17"/>
      <c r="AU35" s="14">
        <v>1</v>
      </c>
      <c r="AV35" s="29"/>
      <c r="AW35" s="14" t="str">
        <f t="shared" si="4"/>
        <v>[1049,1,0];</v>
      </c>
      <c r="AX35" s="17"/>
      <c r="BA35" s="8">
        <v>1</v>
      </c>
    </row>
    <row r="36" ht="27" spans="2:53">
      <c r="B36" s="14">
        <v>1050</v>
      </c>
      <c r="C36" s="16" t="s">
        <v>119</v>
      </c>
      <c r="D36" s="15">
        <v>100050</v>
      </c>
      <c r="E36" s="17"/>
      <c r="F36" s="17"/>
      <c r="G36" s="17"/>
      <c r="H36" s="17"/>
      <c r="I36" s="29"/>
      <c r="J36" s="29"/>
      <c r="K36" s="29"/>
      <c r="L36" s="17"/>
      <c r="M36" s="17"/>
      <c r="N36" s="29"/>
      <c r="O36" s="29"/>
      <c r="P36" s="29"/>
      <c r="Q36" s="29"/>
      <c r="R36" s="38" t="s">
        <v>68</v>
      </c>
      <c r="S36" s="38" t="s">
        <v>68</v>
      </c>
      <c r="T36" s="17"/>
      <c r="U36" s="17" t="s">
        <v>69</v>
      </c>
      <c r="V36" s="17">
        <v>0</v>
      </c>
      <c r="W36" s="17"/>
      <c r="X36" s="17"/>
      <c r="Y36" s="53"/>
      <c r="Z36" s="16"/>
      <c r="AA36" s="54"/>
      <c r="AB36" s="17">
        <v>0</v>
      </c>
      <c r="AC36" s="55" t="s">
        <v>120</v>
      </c>
      <c r="AD36" s="17"/>
      <c r="AE36" s="17"/>
      <c r="AF36" s="17"/>
      <c r="AG36" s="17"/>
      <c r="AH36" s="17"/>
      <c r="AI36" s="14">
        <f t="shared" si="0"/>
        <v>0</v>
      </c>
      <c r="AJ36" s="29">
        <v>1</v>
      </c>
      <c r="AK36" s="14" t="str">
        <f t="shared" si="1"/>
        <v/>
      </c>
      <c r="AL36" s="17"/>
      <c r="AO36" s="14">
        <f t="shared" si="2"/>
        <v>0</v>
      </c>
      <c r="AP36" s="29"/>
      <c r="AQ36" s="14" t="str">
        <f t="shared" si="3"/>
        <v>[1050,0,0];</v>
      </c>
      <c r="AR36" s="17"/>
      <c r="AU36" s="14">
        <v>0</v>
      </c>
      <c r="AV36" s="29">
        <v>1</v>
      </c>
      <c r="AW36" s="14" t="str">
        <f t="shared" si="4"/>
        <v/>
      </c>
      <c r="AX36" s="17"/>
      <c r="BA36" s="8">
        <v>1</v>
      </c>
    </row>
    <row r="37" ht="27" spans="2:53">
      <c r="B37" s="14">
        <v>1051</v>
      </c>
      <c r="C37" s="16" t="s">
        <v>121</v>
      </c>
      <c r="D37" s="15">
        <v>100051</v>
      </c>
      <c r="E37" s="17"/>
      <c r="F37" s="17"/>
      <c r="G37" s="17"/>
      <c r="H37" s="17"/>
      <c r="I37" s="29"/>
      <c r="J37" s="29"/>
      <c r="K37" s="29"/>
      <c r="L37" s="17"/>
      <c r="M37" s="17"/>
      <c r="N37" s="29"/>
      <c r="O37" s="29"/>
      <c r="P37" s="29"/>
      <c r="Q37" s="29"/>
      <c r="R37" s="38" t="s">
        <v>68</v>
      </c>
      <c r="S37" s="38" t="s">
        <v>68</v>
      </c>
      <c r="T37" s="17"/>
      <c r="U37" s="17" t="s">
        <v>69</v>
      </c>
      <c r="V37" s="17"/>
      <c r="W37" s="17">
        <v>1</v>
      </c>
      <c r="X37" s="17"/>
      <c r="Y37" s="53"/>
      <c r="Z37" s="16"/>
      <c r="AA37" s="54"/>
      <c r="AB37" s="17">
        <v>0</v>
      </c>
      <c r="AC37" s="55" t="s">
        <v>122</v>
      </c>
      <c r="AD37" s="17"/>
      <c r="AE37" s="17"/>
      <c r="AF37" s="17"/>
      <c r="AG37" s="17"/>
      <c r="AH37" s="17"/>
      <c r="AI37" s="14">
        <f t="shared" si="0"/>
        <v>0</v>
      </c>
      <c r="AJ37" s="29">
        <v>1</v>
      </c>
      <c r="AK37" s="14" t="str">
        <f t="shared" si="1"/>
        <v/>
      </c>
      <c r="AL37" s="17"/>
      <c r="AO37" s="14">
        <f t="shared" si="2"/>
        <v>0</v>
      </c>
      <c r="AP37" s="29"/>
      <c r="AQ37" s="14" t="str">
        <f t="shared" si="3"/>
        <v>[1051,0,0];</v>
      </c>
      <c r="AR37" s="17"/>
      <c r="AU37" s="14">
        <v>0</v>
      </c>
      <c r="AV37" s="29">
        <v>1</v>
      </c>
      <c r="AW37" s="14" t="str">
        <f t="shared" si="4"/>
        <v/>
      </c>
      <c r="AX37" s="17"/>
      <c r="BA37" s="8">
        <v>1</v>
      </c>
    </row>
    <row r="38" ht="54" spans="2:53">
      <c r="B38" s="14">
        <v>1052</v>
      </c>
      <c r="C38" s="16" t="s">
        <v>123</v>
      </c>
      <c r="D38" s="15">
        <v>100052</v>
      </c>
      <c r="E38" s="17"/>
      <c r="F38" s="17"/>
      <c r="G38" s="17"/>
      <c r="H38" s="17"/>
      <c r="I38" s="29"/>
      <c r="J38" s="29"/>
      <c r="K38" s="29"/>
      <c r="L38" s="17"/>
      <c r="M38" s="17"/>
      <c r="N38" s="29"/>
      <c r="O38" s="29"/>
      <c r="P38" s="29"/>
      <c r="Q38" s="29"/>
      <c r="R38" s="38" t="s">
        <v>68</v>
      </c>
      <c r="S38" s="38" t="s">
        <v>68</v>
      </c>
      <c r="T38" s="17"/>
      <c r="U38" s="17" t="s">
        <v>69</v>
      </c>
      <c r="V38" s="17"/>
      <c r="W38" s="17"/>
      <c r="X38" s="17"/>
      <c r="Y38" s="53"/>
      <c r="Z38" s="16"/>
      <c r="AA38" s="54"/>
      <c r="AB38" s="55" t="s">
        <v>124</v>
      </c>
      <c r="AC38" s="55" t="s">
        <v>125</v>
      </c>
      <c r="AD38" s="17"/>
      <c r="AE38" s="17"/>
      <c r="AF38" s="17"/>
      <c r="AG38" s="17"/>
      <c r="AH38" s="17"/>
      <c r="AI38" s="14">
        <f t="shared" si="0"/>
        <v>0</v>
      </c>
      <c r="AJ38" s="29">
        <v>1</v>
      </c>
      <c r="AK38" s="14" t="str">
        <f t="shared" si="1"/>
        <v/>
      </c>
      <c r="AL38" s="17"/>
      <c r="AO38" s="14">
        <f t="shared" si="2"/>
        <v>0</v>
      </c>
      <c r="AP38" s="29"/>
      <c r="AQ38" s="14" t="str">
        <f t="shared" si="3"/>
        <v>[1052,0,0];</v>
      </c>
      <c r="AR38" s="17"/>
      <c r="AU38" s="14">
        <v>0</v>
      </c>
      <c r="AV38" s="29">
        <v>1</v>
      </c>
      <c r="AW38" s="14" t="str">
        <f t="shared" si="4"/>
        <v/>
      </c>
      <c r="AX38" s="17"/>
      <c r="BA38" s="8">
        <v>1</v>
      </c>
    </row>
    <row r="39" ht="40.5" spans="2:53">
      <c r="B39" s="14">
        <v>1053</v>
      </c>
      <c r="C39" s="16" t="s">
        <v>126</v>
      </c>
      <c r="D39" s="15">
        <v>100053</v>
      </c>
      <c r="E39" s="17"/>
      <c r="F39" s="17"/>
      <c r="G39" s="17"/>
      <c r="H39" s="17"/>
      <c r="I39" s="29"/>
      <c r="J39" s="29"/>
      <c r="K39" s="29"/>
      <c r="L39" s="17"/>
      <c r="M39" s="17"/>
      <c r="N39" s="29"/>
      <c r="O39" s="29"/>
      <c r="P39" s="29"/>
      <c r="Q39" s="29"/>
      <c r="R39" s="38" t="s">
        <v>68</v>
      </c>
      <c r="S39" s="38" t="s">
        <v>68</v>
      </c>
      <c r="T39" s="17"/>
      <c r="U39" s="17" t="s">
        <v>69</v>
      </c>
      <c r="V39" s="17"/>
      <c r="W39" s="17">
        <v>1</v>
      </c>
      <c r="X39" s="17"/>
      <c r="Y39" s="53"/>
      <c r="Z39" s="16"/>
      <c r="AA39" s="54">
        <v>-1</v>
      </c>
      <c r="AB39" s="55" t="s">
        <v>127</v>
      </c>
      <c r="AC39" s="55" t="s">
        <v>128</v>
      </c>
      <c r="AD39" s="55" t="s">
        <v>129</v>
      </c>
      <c r="AE39" s="17"/>
      <c r="AF39" s="17"/>
      <c r="AG39" s="17"/>
      <c r="AH39" s="17"/>
      <c r="AI39" s="14">
        <f t="shared" si="0"/>
        <v>-1</v>
      </c>
      <c r="AJ39" s="29">
        <v>1</v>
      </c>
      <c r="AK39" s="14" t="str">
        <f t="shared" si="1"/>
        <v/>
      </c>
      <c r="AL39" s="17"/>
      <c r="AO39" s="14">
        <f t="shared" si="2"/>
        <v>-1</v>
      </c>
      <c r="AP39" s="29"/>
      <c r="AQ39" s="14" t="str">
        <f t="shared" si="3"/>
        <v>[1053,-1,0];</v>
      </c>
      <c r="AR39" s="17"/>
      <c r="AU39" s="14">
        <v>0</v>
      </c>
      <c r="AV39" s="29"/>
      <c r="AW39" s="14" t="str">
        <f t="shared" si="4"/>
        <v>[1053,0,0];</v>
      </c>
      <c r="AX39" s="17"/>
      <c r="BA39" s="8">
        <v>1</v>
      </c>
    </row>
    <row r="40" ht="40.5" spans="2:53">
      <c r="B40" s="14">
        <v>1054</v>
      </c>
      <c r="C40" s="16" t="s">
        <v>130</v>
      </c>
      <c r="D40" s="15">
        <v>100054</v>
      </c>
      <c r="E40" s="17"/>
      <c r="F40" s="17"/>
      <c r="G40" s="17"/>
      <c r="H40" s="17"/>
      <c r="I40" s="29"/>
      <c r="K40" s="29"/>
      <c r="L40" s="17"/>
      <c r="M40" s="17"/>
      <c r="N40" s="29"/>
      <c r="O40" s="29"/>
      <c r="P40" s="29"/>
      <c r="Q40" s="29"/>
      <c r="R40" s="38" t="s">
        <v>68</v>
      </c>
      <c r="S40" s="38" t="s">
        <v>68</v>
      </c>
      <c r="T40" s="17"/>
      <c r="U40" s="17" t="s">
        <v>69</v>
      </c>
      <c r="V40" s="17">
        <v>0</v>
      </c>
      <c r="W40" s="17"/>
      <c r="X40" s="17"/>
      <c r="Y40" s="53"/>
      <c r="Z40" s="16"/>
      <c r="AA40" s="54"/>
      <c r="AB40" s="17">
        <v>0</v>
      </c>
      <c r="AC40" s="55" t="s">
        <v>88</v>
      </c>
      <c r="AD40" s="17"/>
      <c r="AE40" s="17"/>
      <c r="AF40" s="17"/>
      <c r="AG40" s="17"/>
      <c r="AH40" s="17"/>
      <c r="AI40" s="14">
        <f t="shared" si="0"/>
        <v>0</v>
      </c>
      <c r="AJ40" s="29">
        <v>1</v>
      </c>
      <c r="AK40" s="14" t="str">
        <f t="shared" si="1"/>
        <v/>
      </c>
      <c r="AL40" s="17"/>
      <c r="AO40" s="14">
        <f t="shared" si="2"/>
        <v>0</v>
      </c>
      <c r="AP40" s="29"/>
      <c r="AQ40" s="14" t="str">
        <f t="shared" si="3"/>
        <v>[1054,0,0];</v>
      </c>
      <c r="AR40" s="17"/>
      <c r="AU40" s="14">
        <v>0</v>
      </c>
      <c r="AV40" s="29">
        <v>1</v>
      </c>
      <c r="AW40" s="14" t="str">
        <f t="shared" si="4"/>
        <v/>
      </c>
      <c r="AX40" s="17"/>
      <c r="BA40" s="8">
        <v>1</v>
      </c>
    </row>
    <row r="41" ht="27" spans="2:53">
      <c r="B41" s="14">
        <v>1055</v>
      </c>
      <c r="C41" s="16" t="s">
        <v>131</v>
      </c>
      <c r="D41" s="15">
        <v>100055</v>
      </c>
      <c r="E41" s="17"/>
      <c r="F41" s="17"/>
      <c r="G41" s="17"/>
      <c r="H41" s="17"/>
      <c r="I41" s="29"/>
      <c r="J41" s="29"/>
      <c r="K41" s="29"/>
      <c r="L41" s="17"/>
      <c r="M41" s="17"/>
      <c r="N41" s="29"/>
      <c r="O41" s="29"/>
      <c r="P41" s="29"/>
      <c r="Q41" s="29"/>
      <c r="R41" s="38" t="s">
        <v>68</v>
      </c>
      <c r="S41" s="38" t="s">
        <v>68</v>
      </c>
      <c r="T41" s="17"/>
      <c r="U41" s="17" t="s">
        <v>69</v>
      </c>
      <c r="V41" s="17">
        <v>0</v>
      </c>
      <c r="W41" s="17"/>
      <c r="X41" s="17"/>
      <c r="Y41" s="53"/>
      <c r="Z41" s="16"/>
      <c r="AA41" s="54"/>
      <c r="AB41" s="17">
        <v>0</v>
      </c>
      <c r="AC41" s="55" t="s">
        <v>97</v>
      </c>
      <c r="AD41" s="17"/>
      <c r="AE41" s="17"/>
      <c r="AF41" s="17"/>
      <c r="AG41" s="17"/>
      <c r="AH41" s="17"/>
      <c r="AI41" s="14">
        <f t="shared" si="0"/>
        <v>0</v>
      </c>
      <c r="AJ41" s="29">
        <v>1</v>
      </c>
      <c r="AK41" s="14" t="str">
        <f t="shared" si="1"/>
        <v/>
      </c>
      <c r="AL41" s="17"/>
      <c r="AO41" s="14">
        <f t="shared" si="2"/>
        <v>0</v>
      </c>
      <c r="AP41" s="29"/>
      <c r="AQ41" s="14" t="str">
        <f t="shared" si="3"/>
        <v>[1055,0,0];</v>
      </c>
      <c r="AR41" s="17"/>
      <c r="AU41" s="14">
        <v>0</v>
      </c>
      <c r="AV41" s="29">
        <v>1</v>
      </c>
      <c r="AW41" s="14" t="str">
        <f t="shared" si="4"/>
        <v/>
      </c>
      <c r="AX41" s="17"/>
      <c r="BA41" s="8">
        <v>1</v>
      </c>
    </row>
    <row r="42" ht="27" spans="2:53">
      <c r="B42" s="14">
        <v>1056</v>
      </c>
      <c r="C42" s="16" t="s">
        <v>132</v>
      </c>
      <c r="D42" s="15">
        <v>100056</v>
      </c>
      <c r="E42" s="17"/>
      <c r="F42" s="17"/>
      <c r="G42" s="17"/>
      <c r="H42" s="17"/>
      <c r="I42" s="29"/>
      <c r="J42" s="29"/>
      <c r="K42" s="29"/>
      <c r="L42" s="17"/>
      <c r="M42" s="17"/>
      <c r="N42" s="29"/>
      <c r="O42" s="29"/>
      <c r="P42" s="29"/>
      <c r="Q42" s="29"/>
      <c r="R42" s="38" t="s">
        <v>68</v>
      </c>
      <c r="S42" s="38" t="s">
        <v>68</v>
      </c>
      <c r="T42" s="17"/>
      <c r="U42" s="17" t="s">
        <v>69</v>
      </c>
      <c r="V42" s="17">
        <v>0</v>
      </c>
      <c r="W42" s="17"/>
      <c r="X42" s="17"/>
      <c r="Y42" s="53"/>
      <c r="Z42" s="16"/>
      <c r="AA42" s="54"/>
      <c r="AB42" s="17">
        <v>0</v>
      </c>
      <c r="AC42" s="55" t="s">
        <v>133</v>
      </c>
      <c r="AD42" s="17"/>
      <c r="AE42" s="17"/>
      <c r="AF42" s="17"/>
      <c r="AG42" s="17"/>
      <c r="AH42" s="17"/>
      <c r="AI42" s="14">
        <f t="shared" si="0"/>
        <v>0</v>
      </c>
      <c r="AJ42" s="29">
        <v>1</v>
      </c>
      <c r="AK42" s="14" t="str">
        <f t="shared" si="1"/>
        <v/>
      </c>
      <c r="AL42" s="17"/>
      <c r="AO42" s="14">
        <f t="shared" si="2"/>
        <v>0</v>
      </c>
      <c r="AP42" s="29"/>
      <c r="AQ42" s="14" t="str">
        <f t="shared" si="3"/>
        <v>[1056,0,0];</v>
      </c>
      <c r="AR42" s="17"/>
      <c r="AU42" s="14">
        <v>0</v>
      </c>
      <c r="AV42" s="29">
        <v>1</v>
      </c>
      <c r="AW42" s="14" t="str">
        <f t="shared" si="4"/>
        <v/>
      </c>
      <c r="AX42" s="17"/>
      <c r="BA42" s="8">
        <v>1</v>
      </c>
    </row>
    <row r="43" spans="2:50">
      <c r="B43" s="14">
        <v>1057</v>
      </c>
      <c r="C43" s="24" t="s">
        <v>134</v>
      </c>
      <c r="D43" s="15">
        <v>100057</v>
      </c>
      <c r="E43" s="17"/>
      <c r="F43" s="17"/>
      <c r="G43" s="17"/>
      <c r="H43" s="17"/>
      <c r="I43" s="29"/>
      <c r="J43" s="29"/>
      <c r="K43" s="29"/>
      <c r="L43" s="17"/>
      <c r="M43" s="17"/>
      <c r="N43" s="29"/>
      <c r="O43" s="29"/>
      <c r="P43" s="29"/>
      <c r="Q43" s="29"/>
      <c r="R43" s="38" t="s">
        <v>68</v>
      </c>
      <c r="S43" s="38" t="s">
        <v>68</v>
      </c>
      <c r="T43" s="17"/>
      <c r="U43" s="17" t="s">
        <v>69</v>
      </c>
      <c r="V43" s="17"/>
      <c r="W43" s="17">
        <v>1</v>
      </c>
      <c r="X43" s="17"/>
      <c r="Y43" s="53"/>
      <c r="Z43" s="16"/>
      <c r="AA43" s="54"/>
      <c r="AB43" s="17" t="s">
        <v>135</v>
      </c>
      <c r="AC43" s="55" t="s">
        <v>136</v>
      </c>
      <c r="AD43" s="17"/>
      <c r="AE43" s="17"/>
      <c r="AF43" s="17"/>
      <c r="AG43" s="17"/>
      <c r="AH43" s="17"/>
      <c r="AI43" s="14">
        <v>0</v>
      </c>
      <c r="AJ43" s="29"/>
      <c r="AK43" s="14"/>
      <c r="AL43" s="17"/>
      <c r="AO43" s="14">
        <f t="shared" si="2"/>
        <v>0</v>
      </c>
      <c r="AP43" s="29"/>
      <c r="AQ43" s="14" t="str">
        <f t="shared" si="3"/>
        <v>[1057,0,0];</v>
      </c>
      <c r="AR43" s="17"/>
      <c r="AU43" s="14">
        <v>0</v>
      </c>
      <c r="AV43" s="29"/>
      <c r="AW43" s="14" t="str">
        <f t="shared" si="4"/>
        <v>[1057,0,0];</v>
      </c>
      <c r="AX43" s="17"/>
    </row>
    <row r="44" ht="27" spans="2:53">
      <c r="B44" s="14">
        <v>1058</v>
      </c>
      <c r="C44" s="16" t="s">
        <v>137</v>
      </c>
      <c r="D44" s="15">
        <v>100058</v>
      </c>
      <c r="E44" s="17">
        <v>7</v>
      </c>
      <c r="F44" s="17"/>
      <c r="G44" s="17"/>
      <c r="H44" s="17"/>
      <c r="I44" s="29"/>
      <c r="J44" s="29" t="s">
        <v>138</v>
      </c>
      <c r="K44" s="29" t="s">
        <v>139</v>
      </c>
      <c r="L44" s="17"/>
      <c r="M44" s="17">
        <v>1</v>
      </c>
      <c r="N44" s="29"/>
      <c r="O44" s="29"/>
      <c r="P44" s="29"/>
      <c r="Q44" s="29"/>
      <c r="R44" s="38" t="s">
        <v>68</v>
      </c>
      <c r="S44" s="38" t="s">
        <v>68</v>
      </c>
      <c r="T44" s="17"/>
      <c r="U44" s="17" t="s">
        <v>69</v>
      </c>
      <c r="V44" s="17">
        <v>0</v>
      </c>
      <c r="W44" s="17"/>
      <c r="X44" s="17"/>
      <c r="Y44" s="53"/>
      <c r="Z44" s="16"/>
      <c r="AA44" s="54"/>
      <c r="AB44" s="17">
        <v>0</v>
      </c>
      <c r="AC44" s="55" t="s">
        <v>100</v>
      </c>
      <c r="AD44" s="17"/>
      <c r="AE44" s="17"/>
      <c r="AF44" s="17"/>
      <c r="AG44" s="17"/>
      <c r="AH44" s="17"/>
      <c r="AI44" s="14">
        <f t="shared" si="0"/>
        <v>0</v>
      </c>
      <c r="AJ44" s="29">
        <v>1</v>
      </c>
      <c r="AK44" s="14" t="str">
        <f>IF(AJ44=1,"",IF(B45="","["&amp;B44&amp;","&amp;AI44&amp;",0]","["&amp;B44&amp;","&amp;AI44&amp;",0];"))</f>
        <v/>
      </c>
      <c r="AL44" s="17"/>
      <c r="AO44" s="14">
        <f t="shared" si="2"/>
        <v>0</v>
      </c>
      <c r="AP44" s="29"/>
      <c r="AQ44" s="14" t="str">
        <f t="shared" si="3"/>
        <v>[1058,0,0];</v>
      </c>
      <c r="AR44" s="17"/>
      <c r="AU44" s="14">
        <v>0</v>
      </c>
      <c r="AV44" s="29"/>
      <c r="AW44" s="14" t="str">
        <f t="shared" si="4"/>
        <v>[1058,0,0];</v>
      </c>
      <c r="AX44" s="17"/>
      <c r="BA44" s="8">
        <v>1</v>
      </c>
    </row>
    <row r="45" s="1" customFormat="1" ht="27" spans="1:53">
      <c r="A45" s="18" t="s">
        <v>22</v>
      </c>
      <c r="B45" s="14">
        <v>1059</v>
      </c>
      <c r="C45" s="19" t="s">
        <v>140</v>
      </c>
      <c r="D45" s="15">
        <v>100059</v>
      </c>
      <c r="E45" s="20"/>
      <c r="F45" s="20"/>
      <c r="G45" s="20"/>
      <c r="H45" s="20"/>
      <c r="I45" s="30"/>
      <c r="J45" s="29"/>
      <c r="K45" s="29"/>
      <c r="L45" s="20"/>
      <c r="M45" s="20"/>
      <c r="N45" s="30"/>
      <c r="O45" s="30"/>
      <c r="P45" s="30"/>
      <c r="Q45" s="30"/>
      <c r="R45" s="39" t="s">
        <v>68</v>
      </c>
      <c r="S45" s="39" t="s">
        <v>68</v>
      </c>
      <c r="T45" s="20"/>
      <c r="U45" s="20" t="s">
        <v>69</v>
      </c>
      <c r="V45" s="20">
        <v>0</v>
      </c>
      <c r="W45" s="20"/>
      <c r="X45" s="20"/>
      <c r="Y45" s="57"/>
      <c r="Z45" s="19"/>
      <c r="AA45" s="58"/>
      <c r="AB45" s="20">
        <v>0</v>
      </c>
      <c r="AC45" s="59" t="s">
        <v>100</v>
      </c>
      <c r="AD45" s="20"/>
      <c r="AE45" s="20"/>
      <c r="AF45" s="20"/>
      <c r="AG45" s="20"/>
      <c r="AH45" s="20"/>
      <c r="AI45" s="14">
        <f t="shared" si="0"/>
        <v>0</v>
      </c>
      <c r="AJ45" s="30">
        <v>1</v>
      </c>
      <c r="AK45" s="14" t="str">
        <f>IF(AJ45=1,"",IF(B46="","["&amp;B45&amp;","&amp;AI45&amp;",0]","["&amp;B45&amp;","&amp;AI45&amp;",0];"))</f>
        <v/>
      </c>
      <c r="AL45" s="20"/>
      <c r="AO45" s="14">
        <f t="shared" si="2"/>
        <v>0</v>
      </c>
      <c r="AP45" s="30">
        <v>1</v>
      </c>
      <c r="AQ45" s="14" t="str">
        <f t="shared" si="3"/>
        <v/>
      </c>
      <c r="AR45" s="20"/>
      <c r="AU45" s="14">
        <v>0</v>
      </c>
      <c r="AV45" s="30">
        <v>1</v>
      </c>
      <c r="AW45" s="14" t="str">
        <f t="shared" si="4"/>
        <v/>
      </c>
      <c r="AX45" s="20"/>
      <c r="BA45" s="1">
        <v>1</v>
      </c>
    </row>
    <row r="46" ht="27" spans="2:53">
      <c r="B46" s="14">
        <v>1060</v>
      </c>
      <c r="C46" s="16" t="s">
        <v>141</v>
      </c>
      <c r="D46" s="15">
        <v>100060</v>
      </c>
      <c r="E46" s="17">
        <v>7</v>
      </c>
      <c r="F46" s="17"/>
      <c r="G46" s="17"/>
      <c r="H46" s="17"/>
      <c r="I46" s="29"/>
      <c r="J46" s="29" t="s">
        <v>138</v>
      </c>
      <c r="K46" s="29" t="s">
        <v>142</v>
      </c>
      <c r="L46" s="17"/>
      <c r="M46" s="17">
        <v>1</v>
      </c>
      <c r="N46" s="29"/>
      <c r="O46" s="29"/>
      <c r="P46" s="29"/>
      <c r="Q46" s="29">
        <v>130</v>
      </c>
      <c r="R46" s="38" t="s">
        <v>68</v>
      </c>
      <c r="S46" s="38" t="s">
        <v>68</v>
      </c>
      <c r="T46" s="17"/>
      <c r="U46" s="17" t="s">
        <v>69</v>
      </c>
      <c r="V46" s="17">
        <v>0</v>
      </c>
      <c r="W46" s="17"/>
      <c r="X46" s="17"/>
      <c r="Y46" s="53"/>
      <c r="Z46" s="16"/>
      <c r="AA46" s="54"/>
      <c r="AB46" s="17">
        <v>0</v>
      </c>
      <c r="AC46" s="55" t="s">
        <v>100</v>
      </c>
      <c r="AD46" s="17"/>
      <c r="AE46" s="17"/>
      <c r="AF46" s="17"/>
      <c r="AG46" s="17"/>
      <c r="AH46" s="17"/>
      <c r="AI46" s="14">
        <f t="shared" si="0"/>
        <v>0</v>
      </c>
      <c r="AJ46" s="29">
        <v>1</v>
      </c>
      <c r="AK46" s="14" t="str">
        <f>IF(AJ46=1,"",IF(#REF!="","["&amp;B46&amp;","&amp;AI46&amp;",0]","["&amp;B46&amp;","&amp;AI46&amp;",0];"))</f>
        <v/>
      </c>
      <c r="AL46" s="17"/>
      <c r="AO46" s="14">
        <f t="shared" si="2"/>
        <v>0</v>
      </c>
      <c r="AP46" s="29"/>
      <c r="AQ46" s="14" t="e">
        <f>IF(AP46=1,"",IF(#REF!="","["&amp;B46&amp;","&amp;AO46&amp;",0]","["&amp;B46&amp;","&amp;AO46&amp;",0];"))</f>
        <v>#REF!</v>
      </c>
      <c r="AR46" s="17"/>
      <c r="AU46" s="14">
        <v>0</v>
      </c>
      <c r="AV46" s="29"/>
      <c r="AW46" s="14" t="e">
        <f>IF(AV46=1,"",IF(#REF!="","["&amp;B46&amp;","&amp;AU46&amp;",0]","["&amp;B46&amp;","&amp;AU46&amp;",0];"))</f>
        <v>#REF!</v>
      </c>
      <c r="AX46" s="17"/>
      <c r="BA46" s="8">
        <v>1</v>
      </c>
    </row>
    <row r="47" ht="40.5" spans="2:53">
      <c r="B47" s="14">
        <v>1083</v>
      </c>
      <c r="C47" s="17" t="s">
        <v>143</v>
      </c>
      <c r="D47" s="15">
        <v>100083</v>
      </c>
      <c r="E47" s="17"/>
      <c r="F47" s="17"/>
      <c r="G47" s="17"/>
      <c r="H47" s="17"/>
      <c r="I47" s="29"/>
      <c r="J47" s="29"/>
      <c r="K47" s="29"/>
      <c r="L47" s="17"/>
      <c r="M47" s="17"/>
      <c r="N47" s="29"/>
      <c r="O47" s="29"/>
      <c r="P47" s="29"/>
      <c r="Q47" s="29"/>
      <c r="R47" s="38" t="s">
        <v>68</v>
      </c>
      <c r="S47" s="38" t="s">
        <v>68</v>
      </c>
      <c r="T47" s="17"/>
      <c r="U47" s="17" t="s">
        <v>69</v>
      </c>
      <c r="V47" s="17">
        <v>0</v>
      </c>
      <c r="W47" s="17"/>
      <c r="X47" s="17"/>
      <c r="Y47" s="53"/>
      <c r="Z47" s="16"/>
      <c r="AA47" s="54"/>
      <c r="AB47" s="17">
        <v>0</v>
      </c>
      <c r="AC47" s="55" t="s">
        <v>144</v>
      </c>
      <c r="AD47" s="17"/>
      <c r="AE47" s="17"/>
      <c r="AF47" s="17"/>
      <c r="AG47" s="17"/>
      <c r="AH47" s="17"/>
      <c r="AI47" s="14">
        <f t="shared" ref="AI47:AI91" si="5">IF(AA47="",0,AA47)</f>
        <v>0</v>
      </c>
      <c r="AJ47" s="29">
        <v>1</v>
      </c>
      <c r="AK47" s="14" t="str">
        <f t="shared" ref="AK47:AK91" si="6">IF(AJ47=1,"",IF(B48="","["&amp;B47&amp;","&amp;AI47&amp;",0]","["&amp;B47&amp;","&amp;AI47&amp;",0];"))</f>
        <v/>
      </c>
      <c r="AL47" s="17"/>
      <c r="AO47" s="14">
        <f t="shared" ref="AO47:AO91" si="7">IF(AA47="",0,AA47)</f>
        <v>0</v>
      </c>
      <c r="AP47" s="29"/>
      <c r="AQ47" s="14" t="str">
        <f t="shared" ref="AQ47:AQ91" si="8">IF(AP47=1,"",IF(B48="","["&amp;B47&amp;","&amp;AO47&amp;",0]","["&amp;B47&amp;","&amp;AO47&amp;",0];"))</f>
        <v>[1083,0,0];</v>
      </c>
      <c r="AR47" s="17"/>
      <c r="AU47" s="14">
        <v>0</v>
      </c>
      <c r="AV47" s="29"/>
      <c r="AW47" s="14" t="str">
        <f t="shared" ref="AW47:AW91" si="9">IF(AV47=1,"",IF(B48="","["&amp;B47&amp;","&amp;AU47&amp;",0]","["&amp;B47&amp;","&amp;AU47&amp;",0];"))</f>
        <v>[1083,0,0];</v>
      </c>
      <c r="AX47" s="17"/>
      <c r="BA47" s="8">
        <v>1</v>
      </c>
    </row>
    <row r="48" ht="27" spans="2:53">
      <c r="B48" s="14">
        <v>1084</v>
      </c>
      <c r="C48" s="16" t="s">
        <v>145</v>
      </c>
      <c r="D48" s="15">
        <v>100084</v>
      </c>
      <c r="E48" s="17">
        <v>7</v>
      </c>
      <c r="F48" s="17">
        <v>1</v>
      </c>
      <c r="G48" s="17"/>
      <c r="H48" s="17"/>
      <c r="I48" s="29">
        <v>1</v>
      </c>
      <c r="J48" s="29" t="s">
        <v>146</v>
      </c>
      <c r="K48" s="29"/>
      <c r="L48" s="17"/>
      <c r="M48" s="17">
        <v>1</v>
      </c>
      <c r="N48" s="29">
        <v>1</v>
      </c>
      <c r="O48" s="29"/>
      <c r="P48" s="29"/>
      <c r="Q48" s="29"/>
      <c r="R48" s="38" t="s">
        <v>68</v>
      </c>
      <c r="S48" s="38" t="s">
        <v>68</v>
      </c>
      <c r="T48" s="17"/>
      <c r="U48" s="17" t="s">
        <v>147</v>
      </c>
      <c r="V48" s="17">
        <v>0</v>
      </c>
      <c r="W48" s="17"/>
      <c r="X48" s="17"/>
      <c r="Y48" s="53"/>
      <c r="Z48" s="16">
        <v>1</v>
      </c>
      <c r="AA48" s="54">
        <v>1</v>
      </c>
      <c r="AB48" s="55" t="s">
        <v>148</v>
      </c>
      <c r="AC48" s="55" t="s">
        <v>149</v>
      </c>
      <c r="AD48" s="55" t="s">
        <v>150</v>
      </c>
      <c r="AE48" s="17" t="s">
        <v>151</v>
      </c>
      <c r="AF48" s="17"/>
      <c r="AG48" s="17"/>
      <c r="AH48" s="17"/>
      <c r="AI48" s="14">
        <f t="shared" si="5"/>
        <v>1</v>
      </c>
      <c r="AJ48" s="29"/>
      <c r="AK48" s="14" t="str">
        <f t="shared" si="6"/>
        <v>[1084,1,0];</v>
      </c>
      <c r="AL48" s="17"/>
      <c r="AO48" s="14">
        <f t="shared" si="7"/>
        <v>1</v>
      </c>
      <c r="AP48" s="29"/>
      <c r="AQ48" s="14" t="str">
        <f t="shared" si="8"/>
        <v>[1084,1,0];</v>
      </c>
      <c r="AR48" s="17"/>
      <c r="AU48" s="14">
        <v>1</v>
      </c>
      <c r="AV48" s="29"/>
      <c r="AW48" s="14" t="str">
        <f t="shared" si="9"/>
        <v>[1084,1,0];</v>
      </c>
      <c r="AX48" s="17"/>
      <c r="BA48" s="8">
        <v>0</v>
      </c>
    </row>
    <row r="49" ht="27" spans="2:53">
      <c r="B49" s="14">
        <v>1085</v>
      </c>
      <c r="C49" s="16" t="s">
        <v>152</v>
      </c>
      <c r="D49" s="15">
        <v>100085</v>
      </c>
      <c r="E49" s="17"/>
      <c r="F49" s="17"/>
      <c r="G49" s="17"/>
      <c r="H49" s="17"/>
      <c r="I49" s="29"/>
      <c r="J49" s="29"/>
      <c r="K49" s="29"/>
      <c r="L49" s="17"/>
      <c r="M49" s="17"/>
      <c r="N49" s="29"/>
      <c r="O49" s="29"/>
      <c r="P49" s="29"/>
      <c r="Q49" s="29"/>
      <c r="R49" s="38" t="s">
        <v>68</v>
      </c>
      <c r="S49" s="38" t="s">
        <v>68</v>
      </c>
      <c r="T49" s="17"/>
      <c r="U49" s="17" t="s">
        <v>69</v>
      </c>
      <c r="V49" s="17">
        <v>0</v>
      </c>
      <c r="W49" s="17"/>
      <c r="X49" s="17"/>
      <c r="Y49" s="53"/>
      <c r="Z49" s="16"/>
      <c r="AA49" s="54"/>
      <c r="AB49" s="17">
        <v>0</v>
      </c>
      <c r="AC49" s="55" t="s">
        <v>97</v>
      </c>
      <c r="AD49" s="17"/>
      <c r="AE49" s="17"/>
      <c r="AF49" s="17"/>
      <c r="AG49" s="17"/>
      <c r="AH49" s="17"/>
      <c r="AI49" s="14">
        <f t="shared" si="5"/>
        <v>0</v>
      </c>
      <c r="AJ49" s="29">
        <v>1</v>
      </c>
      <c r="AK49" s="14" t="str">
        <f t="shared" si="6"/>
        <v/>
      </c>
      <c r="AL49" s="17"/>
      <c r="AO49" s="14">
        <f t="shared" si="7"/>
        <v>0</v>
      </c>
      <c r="AP49" s="29"/>
      <c r="AQ49" s="14" t="str">
        <f t="shared" si="8"/>
        <v>[1085,0,0];</v>
      </c>
      <c r="AR49" s="17"/>
      <c r="AU49" s="14">
        <v>0</v>
      </c>
      <c r="AV49" s="29">
        <v>1</v>
      </c>
      <c r="AW49" s="14" t="str">
        <f t="shared" si="9"/>
        <v/>
      </c>
      <c r="AX49" s="17"/>
      <c r="BA49" s="8">
        <v>1</v>
      </c>
    </row>
    <row r="50" s="1" customFormat="1" ht="27" spans="1:53">
      <c r="A50" s="18" t="s">
        <v>22</v>
      </c>
      <c r="B50" s="14">
        <v>1086</v>
      </c>
      <c r="C50" s="19" t="s">
        <v>153</v>
      </c>
      <c r="D50" s="15">
        <v>100086</v>
      </c>
      <c r="E50" s="17">
        <v>7</v>
      </c>
      <c r="F50" s="20">
        <v>1</v>
      </c>
      <c r="G50" s="20"/>
      <c r="H50" s="20"/>
      <c r="I50" s="30">
        <v>1</v>
      </c>
      <c r="J50" s="30" t="s">
        <v>146</v>
      </c>
      <c r="K50" s="30"/>
      <c r="L50" s="20"/>
      <c r="M50" s="20">
        <v>1</v>
      </c>
      <c r="N50" s="30">
        <v>1</v>
      </c>
      <c r="O50" s="30"/>
      <c r="P50" s="30"/>
      <c r="Q50" s="30"/>
      <c r="R50" s="39" t="s">
        <v>68</v>
      </c>
      <c r="S50" s="39" t="s">
        <v>68</v>
      </c>
      <c r="T50" s="20"/>
      <c r="U50" s="20" t="s">
        <v>69</v>
      </c>
      <c r="V50" s="20">
        <v>0</v>
      </c>
      <c r="W50" s="20"/>
      <c r="X50" s="20"/>
      <c r="Y50" s="57"/>
      <c r="Z50" s="19">
        <v>1</v>
      </c>
      <c r="AA50" s="58"/>
      <c r="AB50" s="59" t="s">
        <v>148</v>
      </c>
      <c r="AC50" s="59" t="s">
        <v>149</v>
      </c>
      <c r="AD50" s="59" t="s">
        <v>150</v>
      </c>
      <c r="AE50" s="20"/>
      <c r="AF50" s="20"/>
      <c r="AG50" s="20"/>
      <c r="AH50" s="20"/>
      <c r="AI50" s="14">
        <f t="shared" si="5"/>
        <v>0</v>
      </c>
      <c r="AJ50" s="30">
        <v>0</v>
      </c>
      <c r="AK50" s="14" t="str">
        <f t="shared" si="6"/>
        <v>[1086,0,0];</v>
      </c>
      <c r="AL50" s="20"/>
      <c r="AO50" s="14">
        <f t="shared" si="7"/>
        <v>0</v>
      </c>
      <c r="AP50" s="30">
        <v>1</v>
      </c>
      <c r="AQ50" s="14" t="str">
        <f t="shared" si="8"/>
        <v/>
      </c>
      <c r="AR50" s="20"/>
      <c r="AU50" s="14">
        <v>0</v>
      </c>
      <c r="AV50" s="30">
        <v>1</v>
      </c>
      <c r="AW50" s="14" t="str">
        <f t="shared" si="9"/>
        <v/>
      </c>
      <c r="AX50" s="20"/>
      <c r="BA50" s="1">
        <v>0</v>
      </c>
    </row>
    <row r="51" ht="27" spans="2:53">
      <c r="B51" s="14">
        <v>1087</v>
      </c>
      <c r="C51" s="16" t="s">
        <v>154</v>
      </c>
      <c r="D51" s="15">
        <v>100087</v>
      </c>
      <c r="E51" s="17">
        <v>7</v>
      </c>
      <c r="F51" s="17">
        <v>1</v>
      </c>
      <c r="G51" s="17"/>
      <c r="H51" s="17"/>
      <c r="I51" s="29">
        <v>1</v>
      </c>
      <c r="J51" s="29" t="s">
        <v>146</v>
      </c>
      <c r="K51" s="29"/>
      <c r="L51" s="17"/>
      <c r="M51" s="17">
        <v>1</v>
      </c>
      <c r="N51" s="29">
        <v>1</v>
      </c>
      <c r="O51" s="29"/>
      <c r="P51" s="29"/>
      <c r="Q51" s="29"/>
      <c r="R51" s="38" t="s">
        <v>68</v>
      </c>
      <c r="S51" s="38" t="s">
        <v>68</v>
      </c>
      <c r="T51" s="17"/>
      <c r="U51" s="17" t="s">
        <v>147</v>
      </c>
      <c r="V51" s="17">
        <v>0</v>
      </c>
      <c r="W51" s="17"/>
      <c r="X51" s="17"/>
      <c r="Y51" s="53"/>
      <c r="Z51" s="16">
        <v>1</v>
      </c>
      <c r="AA51" s="54">
        <v>1</v>
      </c>
      <c r="AB51" s="55" t="s">
        <v>148</v>
      </c>
      <c r="AC51" s="55" t="s">
        <v>149</v>
      </c>
      <c r="AD51" s="55" t="s">
        <v>150</v>
      </c>
      <c r="AE51" s="17" t="s">
        <v>151</v>
      </c>
      <c r="AF51" s="17"/>
      <c r="AG51" s="17"/>
      <c r="AH51" s="17"/>
      <c r="AI51" s="14">
        <f t="shared" si="5"/>
        <v>1</v>
      </c>
      <c r="AJ51" s="29">
        <v>0</v>
      </c>
      <c r="AK51" s="14" t="str">
        <f t="shared" si="6"/>
        <v>[1087,1,0];</v>
      </c>
      <c r="AL51" s="17"/>
      <c r="AO51" s="14">
        <f t="shared" si="7"/>
        <v>1</v>
      </c>
      <c r="AP51" s="29"/>
      <c r="AQ51" s="14" t="str">
        <f t="shared" si="8"/>
        <v>[1087,1,0];</v>
      </c>
      <c r="AR51" s="17"/>
      <c r="AU51" s="14">
        <v>1</v>
      </c>
      <c r="AV51" s="29"/>
      <c r="AW51" s="14" t="str">
        <f t="shared" si="9"/>
        <v>[1087,1,0];</v>
      </c>
      <c r="AX51" s="17"/>
      <c r="BA51" s="8">
        <v>0</v>
      </c>
    </row>
    <row r="52" ht="27" spans="2:53">
      <c r="B52" s="14">
        <v>1088</v>
      </c>
      <c r="C52" s="16" t="s">
        <v>155</v>
      </c>
      <c r="D52" s="15">
        <v>100088</v>
      </c>
      <c r="E52" s="17">
        <v>7</v>
      </c>
      <c r="F52" s="17">
        <v>1</v>
      </c>
      <c r="G52" s="17"/>
      <c r="H52" s="17"/>
      <c r="I52" s="29">
        <v>1</v>
      </c>
      <c r="J52" s="29" t="s">
        <v>146</v>
      </c>
      <c r="K52" s="29"/>
      <c r="L52" s="17"/>
      <c r="M52" s="17">
        <v>1</v>
      </c>
      <c r="N52" s="29">
        <v>1</v>
      </c>
      <c r="O52" s="29"/>
      <c r="P52" s="29"/>
      <c r="Q52" s="29"/>
      <c r="R52" s="38" t="s">
        <v>68</v>
      </c>
      <c r="S52" s="38" t="s">
        <v>68</v>
      </c>
      <c r="T52" s="17"/>
      <c r="U52" s="17" t="s">
        <v>147</v>
      </c>
      <c r="V52" s="17">
        <v>0</v>
      </c>
      <c r="W52" s="17"/>
      <c r="X52" s="17"/>
      <c r="Y52" s="53"/>
      <c r="Z52" s="16">
        <v>1</v>
      </c>
      <c r="AA52" s="54">
        <v>1</v>
      </c>
      <c r="AB52" s="55" t="s">
        <v>148</v>
      </c>
      <c r="AC52" s="55" t="s">
        <v>149</v>
      </c>
      <c r="AD52" s="55" t="s">
        <v>150</v>
      </c>
      <c r="AE52" s="17" t="s">
        <v>151</v>
      </c>
      <c r="AF52" s="17"/>
      <c r="AG52" s="17"/>
      <c r="AH52" s="17"/>
      <c r="AI52" s="14">
        <f t="shared" si="5"/>
        <v>1</v>
      </c>
      <c r="AJ52" s="29">
        <v>0</v>
      </c>
      <c r="AK52" s="14" t="str">
        <f t="shared" si="6"/>
        <v>[1088,1,0];</v>
      </c>
      <c r="AL52" s="17"/>
      <c r="AO52" s="14">
        <f t="shared" si="7"/>
        <v>1</v>
      </c>
      <c r="AP52" s="29"/>
      <c r="AQ52" s="14" t="str">
        <f t="shared" si="8"/>
        <v>[1088,1,0];</v>
      </c>
      <c r="AR52" s="17"/>
      <c r="AU52" s="14">
        <v>1</v>
      </c>
      <c r="AV52" s="29"/>
      <c r="AW52" s="14" t="str">
        <f t="shared" si="9"/>
        <v>[1088,1,0];</v>
      </c>
      <c r="AX52" s="17"/>
      <c r="BA52" s="8">
        <v>0</v>
      </c>
    </row>
    <row r="53" s="1" customFormat="1" spans="1:53">
      <c r="A53" s="18" t="s">
        <v>22</v>
      </c>
      <c r="B53" s="14">
        <v>1089</v>
      </c>
      <c r="C53" s="20" t="s">
        <v>156</v>
      </c>
      <c r="D53" s="15">
        <v>100089</v>
      </c>
      <c r="E53" s="20"/>
      <c r="F53" s="20"/>
      <c r="G53" s="20"/>
      <c r="H53" s="20"/>
      <c r="I53" s="30"/>
      <c r="J53" s="30"/>
      <c r="K53" s="30"/>
      <c r="L53" s="20"/>
      <c r="M53" s="20"/>
      <c r="N53" s="30"/>
      <c r="O53" s="30"/>
      <c r="P53" s="30"/>
      <c r="Q53" s="30">
        <v>130</v>
      </c>
      <c r="R53" s="39" t="s">
        <v>68</v>
      </c>
      <c r="S53" s="39" t="s">
        <v>68</v>
      </c>
      <c r="T53" s="20"/>
      <c r="U53" s="20" t="s">
        <v>157</v>
      </c>
      <c r="V53" s="20">
        <v>0</v>
      </c>
      <c r="W53" s="20"/>
      <c r="X53" s="20"/>
      <c r="Y53" s="57"/>
      <c r="Z53" s="19"/>
      <c r="AA53" s="58"/>
      <c r="AB53" s="20">
        <v>0</v>
      </c>
      <c r="AC53" s="20"/>
      <c r="AD53" s="20"/>
      <c r="AE53" s="20"/>
      <c r="AF53" s="20"/>
      <c r="AG53" s="20"/>
      <c r="AH53" s="20"/>
      <c r="AI53" s="14">
        <f t="shared" si="5"/>
        <v>0</v>
      </c>
      <c r="AJ53" s="30">
        <v>1</v>
      </c>
      <c r="AK53" s="14" t="str">
        <f>IF(AJ53=1,"",IF(#REF!="","["&amp;B53&amp;","&amp;AI53&amp;",0]","["&amp;B53&amp;","&amp;AI53&amp;",0];"))</f>
        <v/>
      </c>
      <c r="AL53" s="20"/>
      <c r="AO53" s="14">
        <f t="shared" si="7"/>
        <v>0</v>
      </c>
      <c r="AP53" s="30">
        <v>1</v>
      </c>
      <c r="AQ53" s="14" t="str">
        <f>IF(AP53=1,"",IF(#REF!="","["&amp;B53&amp;","&amp;AO53&amp;",0]","["&amp;B53&amp;","&amp;AO53&amp;",0];"))</f>
        <v/>
      </c>
      <c r="AR53" s="20"/>
      <c r="AU53" s="14">
        <v>0</v>
      </c>
      <c r="AV53" s="30">
        <v>1</v>
      </c>
      <c r="AW53" s="14" t="str">
        <f>IF(AV53=1,"",IF(#REF!="","["&amp;B53&amp;","&amp;AU53&amp;",0]","["&amp;B53&amp;","&amp;AU53&amp;",0];"))</f>
        <v/>
      </c>
      <c r="AX53" s="20"/>
      <c r="BA53" s="1">
        <v>1</v>
      </c>
    </row>
    <row r="54" s="1" customFormat="1" ht="27" spans="1:53">
      <c r="A54" s="18" t="s">
        <v>22</v>
      </c>
      <c r="B54" s="14">
        <v>1111</v>
      </c>
      <c r="C54" s="19" t="s">
        <v>158</v>
      </c>
      <c r="D54" s="15">
        <v>100111</v>
      </c>
      <c r="E54" s="20"/>
      <c r="F54" s="20"/>
      <c r="G54" s="20"/>
      <c r="H54" s="20"/>
      <c r="I54" s="30"/>
      <c r="J54" s="29"/>
      <c r="K54" s="29"/>
      <c r="L54" s="20"/>
      <c r="M54" s="20"/>
      <c r="N54" s="30"/>
      <c r="O54" s="30"/>
      <c r="P54" s="30"/>
      <c r="Q54" s="30"/>
      <c r="R54" s="39" t="s">
        <v>68</v>
      </c>
      <c r="S54" s="39" t="s">
        <v>68</v>
      </c>
      <c r="T54" s="20"/>
      <c r="U54" s="20" t="s">
        <v>69</v>
      </c>
      <c r="V54" s="20">
        <v>0</v>
      </c>
      <c r="W54" s="20"/>
      <c r="X54" s="20"/>
      <c r="Y54" s="57"/>
      <c r="Z54" s="19"/>
      <c r="AA54" s="58"/>
      <c r="AB54" s="59" t="s">
        <v>159</v>
      </c>
      <c r="AC54" s="20"/>
      <c r="AD54" s="20"/>
      <c r="AE54" s="20"/>
      <c r="AF54" s="20"/>
      <c r="AG54" s="20"/>
      <c r="AH54" s="20"/>
      <c r="AI54" s="14">
        <f t="shared" si="5"/>
        <v>0</v>
      </c>
      <c r="AJ54" s="30">
        <v>1</v>
      </c>
      <c r="AK54" s="14" t="str">
        <f t="shared" ref="AK54:AK70" si="10">IF(AJ54=1,"",IF(B55="","["&amp;B54&amp;","&amp;AI54&amp;",0]","["&amp;B54&amp;","&amp;AI54&amp;",0];"))</f>
        <v/>
      </c>
      <c r="AL54" s="20"/>
      <c r="AO54" s="14">
        <f t="shared" si="7"/>
        <v>0</v>
      </c>
      <c r="AP54" s="30">
        <v>1</v>
      </c>
      <c r="AQ54" s="14" t="str">
        <f t="shared" ref="AQ54:AQ70" si="11">IF(AP54=1,"",IF(B55="","["&amp;B54&amp;","&amp;AO54&amp;",0]","["&amp;B54&amp;","&amp;AO54&amp;",0];"))</f>
        <v/>
      </c>
      <c r="AR54" s="20"/>
      <c r="AU54" s="14">
        <v>0</v>
      </c>
      <c r="AV54" s="30">
        <v>1</v>
      </c>
      <c r="AW54" s="14" t="str">
        <f t="shared" ref="AW54:AW70" si="12">IF(AV54=1,"",IF(B55="","["&amp;B54&amp;","&amp;AU54&amp;",0]","["&amp;B54&amp;","&amp;AU54&amp;",0];"))</f>
        <v/>
      </c>
      <c r="AX54" s="20"/>
      <c r="BA54" s="1">
        <v>1</v>
      </c>
    </row>
    <row r="55" ht="27" spans="2:53">
      <c r="B55" s="14">
        <v>1112</v>
      </c>
      <c r="C55" s="16" t="s">
        <v>160</v>
      </c>
      <c r="D55" s="15">
        <v>100112</v>
      </c>
      <c r="E55" s="17"/>
      <c r="F55" s="17"/>
      <c r="G55" s="17"/>
      <c r="H55" s="17"/>
      <c r="I55" s="29"/>
      <c r="J55" s="29"/>
      <c r="K55" s="29"/>
      <c r="L55" s="17"/>
      <c r="M55" s="17"/>
      <c r="N55" s="29"/>
      <c r="O55" s="29"/>
      <c r="P55" s="29"/>
      <c r="Q55" s="29"/>
      <c r="R55" s="38" t="s">
        <v>68</v>
      </c>
      <c r="S55" s="38" t="s">
        <v>68</v>
      </c>
      <c r="T55" s="17"/>
      <c r="U55" s="17" t="s">
        <v>69</v>
      </c>
      <c r="V55" s="17">
        <v>0</v>
      </c>
      <c r="W55" s="17"/>
      <c r="X55" s="17"/>
      <c r="Y55" s="53"/>
      <c r="Z55" s="16"/>
      <c r="AA55" s="54"/>
      <c r="AB55" s="55" t="s">
        <v>159</v>
      </c>
      <c r="AC55" s="17"/>
      <c r="AD55" s="17"/>
      <c r="AE55" s="17"/>
      <c r="AF55" s="17"/>
      <c r="AG55" s="17"/>
      <c r="AH55" s="17"/>
      <c r="AI55" s="14">
        <f t="shared" si="5"/>
        <v>0</v>
      </c>
      <c r="AJ55" s="29">
        <v>1</v>
      </c>
      <c r="AK55" s="14" t="str">
        <f t="shared" si="10"/>
        <v/>
      </c>
      <c r="AL55" s="17"/>
      <c r="AO55" s="14">
        <f t="shared" si="7"/>
        <v>0</v>
      </c>
      <c r="AP55" s="29"/>
      <c r="AQ55" s="14" t="str">
        <f t="shared" si="11"/>
        <v>[1112,0,0];</v>
      </c>
      <c r="AR55" s="17"/>
      <c r="AU55" s="14">
        <v>0</v>
      </c>
      <c r="AV55" s="29">
        <v>1</v>
      </c>
      <c r="AW55" s="14" t="str">
        <f t="shared" si="12"/>
        <v/>
      </c>
      <c r="AX55" s="17"/>
      <c r="BA55" s="8">
        <v>1</v>
      </c>
    </row>
    <row r="56" s="1" customFormat="1" spans="1:53">
      <c r="A56" s="18" t="s">
        <v>22</v>
      </c>
      <c r="B56" s="14">
        <v>1113</v>
      </c>
      <c r="C56" s="19" t="s">
        <v>161</v>
      </c>
      <c r="D56" s="15">
        <v>100113</v>
      </c>
      <c r="E56" s="20"/>
      <c r="F56" s="20"/>
      <c r="G56" s="20"/>
      <c r="H56" s="20"/>
      <c r="I56" s="30"/>
      <c r="J56" s="29"/>
      <c r="K56" s="29"/>
      <c r="L56" s="20"/>
      <c r="M56" s="20"/>
      <c r="N56" s="30"/>
      <c r="O56" s="30"/>
      <c r="P56" s="30"/>
      <c r="Q56" s="30">
        <v>110</v>
      </c>
      <c r="R56" s="39" t="s">
        <v>68</v>
      </c>
      <c r="S56" s="39" t="s">
        <v>68</v>
      </c>
      <c r="T56" s="20"/>
      <c r="U56" s="20" t="s">
        <v>162</v>
      </c>
      <c r="V56" s="20">
        <v>0</v>
      </c>
      <c r="W56" s="20"/>
      <c r="X56" s="20"/>
      <c r="Y56" s="57"/>
      <c r="Z56" s="19"/>
      <c r="AA56" s="58"/>
      <c r="AB56" s="20">
        <v>0</v>
      </c>
      <c r="AC56" s="20"/>
      <c r="AD56" s="20"/>
      <c r="AE56" s="20"/>
      <c r="AF56" s="20"/>
      <c r="AG56" s="20"/>
      <c r="AH56" s="20"/>
      <c r="AI56" s="14">
        <f t="shared" si="5"/>
        <v>0</v>
      </c>
      <c r="AJ56" s="30">
        <v>1</v>
      </c>
      <c r="AK56" s="14" t="str">
        <f t="shared" si="10"/>
        <v/>
      </c>
      <c r="AL56" s="20"/>
      <c r="AO56" s="14">
        <f t="shared" si="7"/>
        <v>0</v>
      </c>
      <c r="AP56" s="30">
        <v>1</v>
      </c>
      <c r="AQ56" s="14" t="str">
        <f t="shared" si="11"/>
        <v/>
      </c>
      <c r="AR56" s="20"/>
      <c r="AU56" s="14">
        <v>0</v>
      </c>
      <c r="AV56" s="30">
        <v>1</v>
      </c>
      <c r="AW56" s="14" t="str">
        <f t="shared" si="12"/>
        <v/>
      </c>
      <c r="AX56" s="20"/>
      <c r="BA56" s="1">
        <v>1</v>
      </c>
    </row>
    <row r="57" spans="2:53">
      <c r="B57" s="14">
        <v>1114</v>
      </c>
      <c r="C57" s="16" t="s">
        <v>163</v>
      </c>
      <c r="D57" s="15">
        <v>100114</v>
      </c>
      <c r="E57" s="17"/>
      <c r="F57" s="17"/>
      <c r="G57" s="17"/>
      <c r="H57" s="17"/>
      <c r="I57" s="29"/>
      <c r="J57" s="29"/>
      <c r="K57" s="29"/>
      <c r="L57" s="17"/>
      <c r="M57" s="17"/>
      <c r="N57" s="29"/>
      <c r="O57" s="29"/>
      <c r="P57" s="29"/>
      <c r="Q57" s="29"/>
      <c r="R57" s="38" t="s">
        <v>68</v>
      </c>
      <c r="S57" s="38" t="s">
        <v>68</v>
      </c>
      <c r="T57" s="17"/>
      <c r="U57" s="17" t="s">
        <v>69</v>
      </c>
      <c r="V57" s="17">
        <v>0</v>
      </c>
      <c r="W57" s="17"/>
      <c r="X57" s="17"/>
      <c r="Y57" s="53"/>
      <c r="Z57" s="16"/>
      <c r="AA57" s="54"/>
      <c r="AB57" s="17">
        <v>0</v>
      </c>
      <c r="AC57" s="55"/>
      <c r="AD57" s="17"/>
      <c r="AE57" s="17"/>
      <c r="AF57" s="17"/>
      <c r="AG57" s="17"/>
      <c r="AH57" s="17"/>
      <c r="AI57" s="14">
        <f t="shared" si="5"/>
        <v>0</v>
      </c>
      <c r="AJ57" s="29">
        <v>1</v>
      </c>
      <c r="AK57" s="14" t="str">
        <f t="shared" si="10"/>
        <v/>
      </c>
      <c r="AL57" s="17"/>
      <c r="AO57" s="14">
        <f t="shared" si="7"/>
        <v>0</v>
      </c>
      <c r="AP57" s="29"/>
      <c r="AQ57" s="14" t="str">
        <f t="shared" si="11"/>
        <v>[1114,0,0];</v>
      </c>
      <c r="AR57" s="17"/>
      <c r="AU57" s="14">
        <v>0</v>
      </c>
      <c r="AV57" s="29"/>
      <c r="AW57" s="14" t="str">
        <f t="shared" si="12"/>
        <v>[1114,0,0];</v>
      </c>
      <c r="AX57" s="17"/>
      <c r="BA57" s="8">
        <v>1</v>
      </c>
    </row>
    <row r="58" spans="2:53">
      <c r="B58" s="14">
        <v>1115</v>
      </c>
      <c r="C58" s="16" t="s">
        <v>164</v>
      </c>
      <c r="D58" s="15">
        <v>100115</v>
      </c>
      <c r="E58" s="17"/>
      <c r="F58" s="17"/>
      <c r="G58" s="17"/>
      <c r="H58" s="17"/>
      <c r="I58" s="29"/>
      <c r="J58" s="29"/>
      <c r="K58" s="29"/>
      <c r="L58" s="17"/>
      <c r="M58" s="17"/>
      <c r="N58" s="29"/>
      <c r="O58" s="29"/>
      <c r="P58" s="29"/>
      <c r="Q58" s="29"/>
      <c r="R58" s="38" t="s">
        <v>68</v>
      </c>
      <c r="S58" s="38" t="s">
        <v>68</v>
      </c>
      <c r="T58" s="17"/>
      <c r="U58" s="17" t="s">
        <v>69</v>
      </c>
      <c r="V58" s="17">
        <v>0</v>
      </c>
      <c r="W58" s="17"/>
      <c r="X58" s="17"/>
      <c r="Y58" s="53"/>
      <c r="Z58" s="16"/>
      <c r="AA58" s="54"/>
      <c r="AB58" s="17">
        <v>0</v>
      </c>
      <c r="AC58" s="55"/>
      <c r="AD58" s="17"/>
      <c r="AE58" s="17"/>
      <c r="AF58" s="17"/>
      <c r="AG58" s="17"/>
      <c r="AH58" s="17"/>
      <c r="AI58" s="14">
        <f t="shared" si="5"/>
        <v>0</v>
      </c>
      <c r="AJ58" s="29">
        <v>1</v>
      </c>
      <c r="AK58" s="14" t="str">
        <f t="shared" si="10"/>
        <v/>
      </c>
      <c r="AL58" s="17"/>
      <c r="AO58" s="14">
        <f t="shared" si="7"/>
        <v>0</v>
      </c>
      <c r="AP58" s="29"/>
      <c r="AQ58" s="14" t="str">
        <f t="shared" si="11"/>
        <v>[1115,0,0];</v>
      </c>
      <c r="AR58" s="17"/>
      <c r="AU58" s="14">
        <v>0</v>
      </c>
      <c r="AV58" s="29"/>
      <c r="AW58" s="14" t="str">
        <f t="shared" si="12"/>
        <v>[1115,0,0];</v>
      </c>
      <c r="AX58" s="17"/>
      <c r="BA58" s="8">
        <v>1</v>
      </c>
    </row>
    <row r="59" spans="2:53">
      <c r="B59" s="14">
        <v>1116</v>
      </c>
      <c r="C59" s="16" t="s">
        <v>165</v>
      </c>
      <c r="D59" s="15">
        <v>100116</v>
      </c>
      <c r="E59" s="17"/>
      <c r="F59" s="17"/>
      <c r="G59" s="17"/>
      <c r="H59" s="17"/>
      <c r="I59" s="29"/>
      <c r="J59" s="29"/>
      <c r="K59" s="29"/>
      <c r="L59" s="17"/>
      <c r="M59" s="17"/>
      <c r="N59" s="29"/>
      <c r="O59" s="29"/>
      <c r="P59" s="29"/>
      <c r="Q59" s="29"/>
      <c r="R59" s="38" t="s">
        <v>68</v>
      </c>
      <c r="S59" s="38" t="s">
        <v>68</v>
      </c>
      <c r="T59" s="17"/>
      <c r="U59" s="17" t="s">
        <v>69</v>
      </c>
      <c r="V59" s="17">
        <v>0</v>
      </c>
      <c r="W59" s="17"/>
      <c r="X59" s="17"/>
      <c r="Y59" s="53"/>
      <c r="Z59" s="16"/>
      <c r="AA59" s="54"/>
      <c r="AB59" s="17">
        <v>0</v>
      </c>
      <c r="AC59" s="55"/>
      <c r="AD59" s="17"/>
      <c r="AE59" s="17"/>
      <c r="AF59" s="17"/>
      <c r="AG59" s="17"/>
      <c r="AH59" s="17"/>
      <c r="AI59" s="14">
        <f t="shared" si="5"/>
        <v>0</v>
      </c>
      <c r="AJ59" s="29">
        <v>1</v>
      </c>
      <c r="AK59" s="14" t="str">
        <f t="shared" si="10"/>
        <v/>
      </c>
      <c r="AL59" s="17"/>
      <c r="AO59" s="14">
        <f t="shared" si="7"/>
        <v>0</v>
      </c>
      <c r="AP59" s="29"/>
      <c r="AQ59" s="14" t="str">
        <f t="shared" si="11"/>
        <v>[1116,0,0];</v>
      </c>
      <c r="AR59" s="17"/>
      <c r="AU59" s="14">
        <v>0</v>
      </c>
      <c r="AV59" s="29"/>
      <c r="AW59" s="14" t="str">
        <f t="shared" si="12"/>
        <v>[1116,0,0];</v>
      </c>
      <c r="AX59" s="17"/>
      <c r="BA59" s="8">
        <v>1</v>
      </c>
    </row>
    <row r="60" spans="2:53">
      <c r="B60" s="14">
        <v>1117</v>
      </c>
      <c r="C60" s="16" t="s">
        <v>166</v>
      </c>
      <c r="D60" s="15">
        <v>100117</v>
      </c>
      <c r="E60" s="17">
        <v>5</v>
      </c>
      <c r="F60" s="17"/>
      <c r="G60" s="17"/>
      <c r="H60" s="17"/>
      <c r="I60" s="29"/>
      <c r="J60" s="29" t="s">
        <v>138</v>
      </c>
      <c r="K60" s="29" t="s">
        <v>167</v>
      </c>
      <c r="L60" s="17"/>
      <c r="M60" s="17">
        <v>1</v>
      </c>
      <c r="N60" s="29"/>
      <c r="O60" s="29"/>
      <c r="P60" s="29"/>
      <c r="Q60" s="29">
        <v>110</v>
      </c>
      <c r="R60" s="38" t="s">
        <v>68</v>
      </c>
      <c r="S60" s="38" t="s">
        <v>68</v>
      </c>
      <c r="T60" s="17"/>
      <c r="U60" s="17" t="s">
        <v>69</v>
      </c>
      <c r="V60" s="17">
        <v>0</v>
      </c>
      <c r="W60" s="17"/>
      <c r="X60" s="17"/>
      <c r="Y60" s="53"/>
      <c r="Z60" s="16"/>
      <c r="AA60" s="54"/>
      <c r="AB60" s="17">
        <v>0</v>
      </c>
      <c r="AC60" s="55"/>
      <c r="AD60" s="17"/>
      <c r="AE60" s="17"/>
      <c r="AF60" s="17"/>
      <c r="AG60" s="17"/>
      <c r="AH60" s="17"/>
      <c r="AI60" s="14">
        <f t="shared" si="5"/>
        <v>0</v>
      </c>
      <c r="AJ60" s="29">
        <v>1</v>
      </c>
      <c r="AK60" s="14" t="str">
        <f t="shared" si="10"/>
        <v/>
      </c>
      <c r="AL60" s="17"/>
      <c r="AO60" s="14">
        <f t="shared" si="7"/>
        <v>0</v>
      </c>
      <c r="AP60" s="29"/>
      <c r="AQ60" s="14" t="str">
        <f t="shared" si="11"/>
        <v>[1117,0,0];</v>
      </c>
      <c r="AR60" s="17"/>
      <c r="AU60" s="14">
        <v>0</v>
      </c>
      <c r="AV60" s="29">
        <v>1</v>
      </c>
      <c r="AW60" s="14" t="str">
        <f t="shared" si="12"/>
        <v/>
      </c>
      <c r="AX60" s="17"/>
      <c r="BA60" s="8">
        <v>1</v>
      </c>
    </row>
    <row r="61" ht="27" spans="2:53">
      <c r="B61" s="14">
        <v>1118</v>
      </c>
      <c r="C61" s="16" t="s">
        <v>168</v>
      </c>
      <c r="D61" s="15">
        <v>100118</v>
      </c>
      <c r="E61" s="17"/>
      <c r="F61" s="17"/>
      <c r="G61" s="17"/>
      <c r="H61" s="17"/>
      <c r="I61" s="29"/>
      <c r="J61" s="29"/>
      <c r="K61" s="29"/>
      <c r="L61" s="17"/>
      <c r="M61" s="17"/>
      <c r="N61" s="29"/>
      <c r="O61" s="29"/>
      <c r="P61" s="29"/>
      <c r="Q61" s="29">
        <v>110</v>
      </c>
      <c r="R61" s="38" t="s">
        <v>68</v>
      </c>
      <c r="S61" s="38" t="s">
        <v>68</v>
      </c>
      <c r="T61" s="17"/>
      <c r="U61" s="17" t="s">
        <v>69</v>
      </c>
      <c r="V61" s="17">
        <v>0</v>
      </c>
      <c r="W61" s="17"/>
      <c r="X61" s="17"/>
      <c r="Y61" s="53"/>
      <c r="Z61" s="16"/>
      <c r="AA61" s="54">
        <v>1</v>
      </c>
      <c r="AB61" s="17" t="s">
        <v>169</v>
      </c>
      <c r="AC61" s="55" t="s">
        <v>170</v>
      </c>
      <c r="AD61" s="17"/>
      <c r="AE61" s="17"/>
      <c r="AF61" s="17"/>
      <c r="AG61" s="17"/>
      <c r="AH61" s="17"/>
      <c r="AI61" s="14">
        <f t="shared" si="5"/>
        <v>1</v>
      </c>
      <c r="AJ61" s="29">
        <v>1</v>
      </c>
      <c r="AK61" s="14" t="str">
        <f t="shared" si="10"/>
        <v/>
      </c>
      <c r="AL61" s="17"/>
      <c r="AO61" s="14">
        <f t="shared" si="7"/>
        <v>1</v>
      </c>
      <c r="AP61" s="29"/>
      <c r="AQ61" s="14" t="str">
        <f t="shared" si="11"/>
        <v>[1118,1,0];</v>
      </c>
      <c r="AR61" s="17"/>
      <c r="AU61" s="14">
        <v>1</v>
      </c>
      <c r="AV61" s="29"/>
      <c r="AW61" s="14" t="str">
        <f t="shared" si="12"/>
        <v>[1118,1,0];</v>
      </c>
      <c r="AX61" s="17"/>
      <c r="BA61" s="8">
        <v>1</v>
      </c>
    </row>
    <row r="62" ht="27" spans="2:53">
      <c r="B62" s="14">
        <v>1119</v>
      </c>
      <c r="C62" s="16" t="s">
        <v>171</v>
      </c>
      <c r="D62" s="15">
        <v>100119</v>
      </c>
      <c r="E62" s="17"/>
      <c r="F62" s="17"/>
      <c r="G62" s="17"/>
      <c r="H62" s="17"/>
      <c r="I62" s="29"/>
      <c r="J62" s="29"/>
      <c r="K62" s="29"/>
      <c r="L62" s="17"/>
      <c r="M62" s="17"/>
      <c r="N62" s="29"/>
      <c r="O62" s="29"/>
      <c r="P62" s="29"/>
      <c r="Q62" s="29">
        <v>110</v>
      </c>
      <c r="R62" s="38" t="s">
        <v>68</v>
      </c>
      <c r="S62" s="38" t="s">
        <v>68</v>
      </c>
      <c r="T62" s="17"/>
      <c r="U62" s="17" t="s">
        <v>69</v>
      </c>
      <c r="V62" s="17">
        <v>0</v>
      </c>
      <c r="W62" s="17"/>
      <c r="X62" s="17"/>
      <c r="Y62" s="53"/>
      <c r="Z62" s="16"/>
      <c r="AA62" s="54"/>
      <c r="AB62" s="17">
        <v>0</v>
      </c>
      <c r="AC62" s="55" t="s">
        <v>172</v>
      </c>
      <c r="AD62" s="17"/>
      <c r="AE62" s="17"/>
      <c r="AF62" s="17"/>
      <c r="AG62" s="17"/>
      <c r="AH62" s="17"/>
      <c r="AI62" s="14">
        <f t="shared" si="5"/>
        <v>0</v>
      </c>
      <c r="AJ62" s="29">
        <v>1</v>
      </c>
      <c r="AK62" s="14" t="str">
        <f t="shared" si="10"/>
        <v/>
      </c>
      <c r="AL62" s="17"/>
      <c r="AO62" s="14">
        <f t="shared" si="7"/>
        <v>0</v>
      </c>
      <c r="AP62" s="29"/>
      <c r="AQ62" s="14" t="str">
        <f t="shared" si="11"/>
        <v>[1119,0,0];</v>
      </c>
      <c r="AR62" s="17"/>
      <c r="AU62" s="14">
        <v>0</v>
      </c>
      <c r="AV62" s="29"/>
      <c r="AW62" s="14" t="str">
        <f t="shared" si="12"/>
        <v>[1119,0,0];</v>
      </c>
      <c r="AX62" s="17"/>
      <c r="BA62" s="8">
        <v>1</v>
      </c>
    </row>
    <row r="63" ht="27" spans="2:53">
      <c r="B63" s="14">
        <v>1120</v>
      </c>
      <c r="C63" s="16" t="s">
        <v>173</v>
      </c>
      <c r="D63" s="15">
        <v>100120</v>
      </c>
      <c r="E63" s="17"/>
      <c r="F63" s="17"/>
      <c r="G63" s="17"/>
      <c r="H63" s="17"/>
      <c r="I63" s="29"/>
      <c r="J63" s="29"/>
      <c r="K63" s="29"/>
      <c r="L63" s="17"/>
      <c r="M63" s="17"/>
      <c r="N63" s="29"/>
      <c r="O63" s="29"/>
      <c r="P63" s="29"/>
      <c r="Q63" s="29">
        <v>110</v>
      </c>
      <c r="R63" s="38" t="s">
        <v>68</v>
      </c>
      <c r="S63" s="38" t="s">
        <v>68</v>
      </c>
      <c r="T63" s="17"/>
      <c r="U63" s="17" t="s">
        <v>69</v>
      </c>
      <c r="V63" s="17">
        <v>0</v>
      </c>
      <c r="W63" s="17"/>
      <c r="X63" s="17"/>
      <c r="Y63" s="53"/>
      <c r="Z63" s="16"/>
      <c r="AA63" s="54"/>
      <c r="AB63" s="17">
        <v>0</v>
      </c>
      <c r="AC63" s="55" t="s">
        <v>174</v>
      </c>
      <c r="AD63" s="17"/>
      <c r="AE63" s="17"/>
      <c r="AF63" s="17"/>
      <c r="AG63" s="17"/>
      <c r="AH63" s="17"/>
      <c r="AI63" s="14">
        <f t="shared" si="5"/>
        <v>0</v>
      </c>
      <c r="AJ63" s="29">
        <v>1</v>
      </c>
      <c r="AK63" s="14" t="str">
        <f t="shared" si="10"/>
        <v/>
      </c>
      <c r="AL63" s="17"/>
      <c r="AO63" s="14">
        <f t="shared" si="7"/>
        <v>0</v>
      </c>
      <c r="AP63" s="29"/>
      <c r="AQ63" s="14" t="str">
        <f t="shared" si="11"/>
        <v>[1120,0,0];</v>
      </c>
      <c r="AR63" s="17"/>
      <c r="AU63" s="14">
        <v>0</v>
      </c>
      <c r="AV63" s="29"/>
      <c r="AW63" s="14" t="str">
        <f t="shared" si="12"/>
        <v>[1120,0,0];</v>
      </c>
      <c r="AX63" s="17"/>
      <c r="BA63" s="8">
        <v>1</v>
      </c>
    </row>
    <row r="64" s="3" customFormat="1" spans="1:53">
      <c r="A64" s="25"/>
      <c r="B64" s="14">
        <v>1121</v>
      </c>
      <c r="C64" s="26" t="s">
        <v>175</v>
      </c>
      <c r="D64" s="15">
        <v>100121</v>
      </c>
      <c r="E64" s="26"/>
      <c r="F64" s="26"/>
      <c r="G64" s="26"/>
      <c r="H64" s="26"/>
      <c r="I64" s="32"/>
      <c r="J64" s="32"/>
      <c r="K64" s="32"/>
      <c r="L64" s="26"/>
      <c r="M64" s="26"/>
      <c r="N64" s="32"/>
      <c r="O64" s="32"/>
      <c r="P64" s="32"/>
      <c r="Q64" s="32"/>
      <c r="R64" s="41" t="s">
        <v>68</v>
      </c>
      <c r="S64" s="41" t="s">
        <v>68</v>
      </c>
      <c r="T64" s="26"/>
      <c r="U64" s="26" t="s">
        <v>69</v>
      </c>
      <c r="V64" s="26">
        <v>0</v>
      </c>
      <c r="W64" s="26"/>
      <c r="X64" s="26"/>
      <c r="Y64" s="64"/>
      <c r="Z64" s="65"/>
      <c r="AA64" s="66"/>
      <c r="AB64" s="26">
        <v>0</v>
      </c>
      <c r="AC64" s="26" t="s">
        <v>176</v>
      </c>
      <c r="AD64" s="67"/>
      <c r="AE64" s="26"/>
      <c r="AF64" s="26"/>
      <c r="AG64" s="26"/>
      <c r="AH64" s="26"/>
      <c r="AI64" s="14">
        <f t="shared" si="5"/>
        <v>0</v>
      </c>
      <c r="AJ64" s="32">
        <v>1</v>
      </c>
      <c r="AK64" s="14" t="str">
        <f t="shared" si="10"/>
        <v/>
      </c>
      <c r="AL64" s="26"/>
      <c r="AO64" s="14">
        <f t="shared" si="7"/>
        <v>0</v>
      </c>
      <c r="AP64" s="32"/>
      <c r="AQ64" s="14" t="str">
        <f t="shared" si="11"/>
        <v>[1121,0,0];</v>
      </c>
      <c r="AR64" s="26"/>
      <c r="AU64" s="14">
        <v>0</v>
      </c>
      <c r="AV64" s="32">
        <v>1</v>
      </c>
      <c r="AW64" s="14" t="str">
        <f t="shared" si="12"/>
        <v/>
      </c>
      <c r="AX64" s="26"/>
      <c r="BA64" s="3">
        <v>1</v>
      </c>
    </row>
    <row r="65" s="1" customFormat="1" spans="1:53">
      <c r="A65" s="18" t="s">
        <v>22</v>
      </c>
      <c r="B65" s="14">
        <v>1122</v>
      </c>
      <c r="C65" s="20" t="s">
        <v>177</v>
      </c>
      <c r="D65" s="15">
        <v>100122</v>
      </c>
      <c r="E65" s="20"/>
      <c r="F65" s="20"/>
      <c r="G65" s="20"/>
      <c r="H65" s="20"/>
      <c r="I65" s="30"/>
      <c r="J65" s="29"/>
      <c r="K65" s="29"/>
      <c r="L65" s="20"/>
      <c r="M65" s="20"/>
      <c r="N65" s="30"/>
      <c r="O65" s="30"/>
      <c r="P65" s="30"/>
      <c r="Q65" s="30"/>
      <c r="R65" s="39" t="s">
        <v>68</v>
      </c>
      <c r="S65" s="39" t="s">
        <v>68</v>
      </c>
      <c r="T65" s="20"/>
      <c r="U65" s="20" t="s">
        <v>69</v>
      </c>
      <c r="V65" s="20">
        <v>0</v>
      </c>
      <c r="W65" s="20"/>
      <c r="X65" s="20"/>
      <c r="Y65" s="57"/>
      <c r="Z65" s="19"/>
      <c r="AA65" s="58"/>
      <c r="AB65" s="20">
        <v>0</v>
      </c>
      <c r="AC65" s="20" t="s">
        <v>178</v>
      </c>
      <c r="AD65" s="59"/>
      <c r="AE65" s="20"/>
      <c r="AF65" s="20"/>
      <c r="AG65" s="20"/>
      <c r="AH65" s="20"/>
      <c r="AI65" s="14">
        <f t="shared" si="5"/>
        <v>0</v>
      </c>
      <c r="AJ65" s="30">
        <v>1</v>
      </c>
      <c r="AK65" s="14" t="str">
        <f t="shared" si="10"/>
        <v/>
      </c>
      <c r="AL65" s="20"/>
      <c r="AO65" s="14">
        <f t="shared" si="7"/>
        <v>0</v>
      </c>
      <c r="AP65" s="30">
        <v>1</v>
      </c>
      <c r="AQ65" s="14" t="str">
        <f t="shared" si="11"/>
        <v/>
      </c>
      <c r="AR65" s="20"/>
      <c r="AU65" s="14">
        <v>0</v>
      </c>
      <c r="AV65" s="30">
        <v>1</v>
      </c>
      <c r="AW65" s="14" t="str">
        <f t="shared" si="12"/>
        <v/>
      </c>
      <c r="AX65" s="20"/>
      <c r="BA65" s="1">
        <v>1</v>
      </c>
    </row>
    <row r="66" ht="27" spans="2:53">
      <c r="B66" s="14">
        <v>1123</v>
      </c>
      <c r="C66" s="16" t="s">
        <v>179</v>
      </c>
      <c r="D66" s="15">
        <v>100123</v>
      </c>
      <c r="E66" s="17"/>
      <c r="F66" s="17"/>
      <c r="G66" s="17"/>
      <c r="H66" s="17"/>
      <c r="I66" s="29"/>
      <c r="J66" s="29"/>
      <c r="K66" s="29"/>
      <c r="L66" s="17"/>
      <c r="M66" s="17"/>
      <c r="N66" s="29"/>
      <c r="O66" s="29"/>
      <c r="P66" s="29"/>
      <c r="Q66" s="29"/>
      <c r="R66" s="38" t="s">
        <v>68</v>
      </c>
      <c r="S66" s="38" t="s">
        <v>68</v>
      </c>
      <c r="T66" s="17"/>
      <c r="U66" s="17" t="s">
        <v>69</v>
      </c>
      <c r="V66" s="17">
        <v>0</v>
      </c>
      <c r="W66" s="17"/>
      <c r="X66" s="17"/>
      <c r="Y66" s="53"/>
      <c r="Z66" s="16"/>
      <c r="AA66" s="54"/>
      <c r="AB66" s="17">
        <v>0</v>
      </c>
      <c r="AC66" s="55" t="s">
        <v>97</v>
      </c>
      <c r="AD66" s="17"/>
      <c r="AE66" s="17"/>
      <c r="AF66" s="17"/>
      <c r="AG66" s="17"/>
      <c r="AH66" s="17"/>
      <c r="AI66" s="14">
        <f t="shared" si="5"/>
        <v>0</v>
      </c>
      <c r="AJ66" s="29">
        <v>1</v>
      </c>
      <c r="AK66" s="14" t="str">
        <f t="shared" si="10"/>
        <v/>
      </c>
      <c r="AL66" s="17"/>
      <c r="AO66" s="14">
        <f t="shared" si="7"/>
        <v>0</v>
      </c>
      <c r="AP66" s="29"/>
      <c r="AQ66" s="14" t="str">
        <f t="shared" si="11"/>
        <v>[1123,0,0];</v>
      </c>
      <c r="AR66" s="17"/>
      <c r="AU66" s="14">
        <v>0</v>
      </c>
      <c r="AV66" s="29">
        <v>1</v>
      </c>
      <c r="AW66" s="14" t="str">
        <f t="shared" si="12"/>
        <v/>
      </c>
      <c r="AX66" s="17"/>
      <c r="BA66" s="8">
        <v>1</v>
      </c>
    </row>
    <row r="67" s="1" customFormat="1" spans="1:53">
      <c r="A67" s="18" t="s">
        <v>22</v>
      </c>
      <c r="B67" s="14">
        <v>1124</v>
      </c>
      <c r="C67" s="19" t="s">
        <v>180</v>
      </c>
      <c r="D67" s="15">
        <v>100124</v>
      </c>
      <c r="E67" s="20"/>
      <c r="F67" s="20"/>
      <c r="G67" s="20"/>
      <c r="H67" s="20"/>
      <c r="I67" s="30"/>
      <c r="J67" s="29"/>
      <c r="K67" s="29"/>
      <c r="L67" s="20"/>
      <c r="M67" s="20"/>
      <c r="N67" s="30"/>
      <c r="O67" s="30"/>
      <c r="P67" s="30"/>
      <c r="Q67" s="30"/>
      <c r="R67" s="39" t="s">
        <v>68</v>
      </c>
      <c r="S67" s="39" t="s">
        <v>68</v>
      </c>
      <c r="T67" s="20"/>
      <c r="U67" s="20" t="s">
        <v>69</v>
      </c>
      <c r="V67" s="20">
        <v>0</v>
      </c>
      <c r="W67" s="20"/>
      <c r="X67" s="20"/>
      <c r="Y67" s="57"/>
      <c r="Z67" s="19"/>
      <c r="AA67" s="58"/>
      <c r="AB67" s="20">
        <v>0</v>
      </c>
      <c r="AC67" s="20"/>
      <c r="AD67" s="20"/>
      <c r="AE67" s="20"/>
      <c r="AF67" s="20"/>
      <c r="AG67" s="20"/>
      <c r="AH67" s="20"/>
      <c r="AI67" s="14">
        <f t="shared" si="5"/>
        <v>0</v>
      </c>
      <c r="AJ67" s="30">
        <v>1</v>
      </c>
      <c r="AK67" s="14" t="str">
        <f t="shared" si="10"/>
        <v/>
      </c>
      <c r="AL67" s="20"/>
      <c r="AO67" s="14">
        <f t="shared" si="7"/>
        <v>0</v>
      </c>
      <c r="AP67" s="30">
        <v>1</v>
      </c>
      <c r="AQ67" s="14" t="str">
        <f t="shared" si="11"/>
        <v/>
      </c>
      <c r="AR67" s="20"/>
      <c r="AU67" s="14">
        <v>0</v>
      </c>
      <c r="AV67" s="30">
        <v>1</v>
      </c>
      <c r="AW67" s="14" t="str">
        <f t="shared" si="12"/>
        <v/>
      </c>
      <c r="AX67" s="20"/>
      <c r="BA67" s="1">
        <v>1</v>
      </c>
    </row>
    <row r="68" s="1" customFormat="1" spans="1:53">
      <c r="A68" s="18" t="s">
        <v>22</v>
      </c>
      <c r="B68" s="14">
        <v>1125</v>
      </c>
      <c r="C68" s="19" t="s">
        <v>181</v>
      </c>
      <c r="D68" s="15">
        <v>100125</v>
      </c>
      <c r="E68" s="20"/>
      <c r="F68" s="20"/>
      <c r="G68" s="20"/>
      <c r="H68" s="20"/>
      <c r="I68" s="30"/>
      <c r="J68" s="29"/>
      <c r="K68" s="29"/>
      <c r="L68" s="20"/>
      <c r="M68" s="20"/>
      <c r="N68" s="30"/>
      <c r="O68" s="30"/>
      <c r="P68" s="30"/>
      <c r="Q68" s="30">
        <v>80</v>
      </c>
      <c r="R68" s="39" t="s">
        <v>182</v>
      </c>
      <c r="S68" s="39" t="s">
        <v>182</v>
      </c>
      <c r="T68" s="20"/>
      <c r="U68" s="20" t="s">
        <v>69</v>
      </c>
      <c r="V68" s="20">
        <v>0</v>
      </c>
      <c r="W68" s="20"/>
      <c r="X68" s="20"/>
      <c r="Y68" s="57"/>
      <c r="Z68" s="19"/>
      <c r="AA68" s="58"/>
      <c r="AB68" s="20">
        <v>0</v>
      </c>
      <c r="AC68" s="20"/>
      <c r="AD68" s="20"/>
      <c r="AE68" s="20"/>
      <c r="AF68" s="20"/>
      <c r="AG68" s="20"/>
      <c r="AH68" s="20"/>
      <c r="AI68" s="14">
        <f t="shared" si="5"/>
        <v>0</v>
      </c>
      <c r="AJ68" s="30">
        <v>1</v>
      </c>
      <c r="AK68" s="14" t="str">
        <f t="shared" si="10"/>
        <v/>
      </c>
      <c r="AL68" s="60"/>
      <c r="AO68" s="14">
        <f t="shared" si="7"/>
        <v>0</v>
      </c>
      <c r="AP68" s="30">
        <v>1</v>
      </c>
      <c r="AQ68" s="14" t="str">
        <f t="shared" si="11"/>
        <v/>
      </c>
      <c r="AR68" s="60"/>
      <c r="AU68" s="14">
        <v>0</v>
      </c>
      <c r="AV68" s="30">
        <v>1</v>
      </c>
      <c r="AW68" s="14" t="str">
        <f t="shared" si="12"/>
        <v/>
      </c>
      <c r="AX68" s="60"/>
      <c r="BA68" s="1">
        <v>1</v>
      </c>
    </row>
    <row r="69" s="1" customFormat="1" spans="1:53">
      <c r="A69" s="18" t="s">
        <v>22</v>
      </c>
      <c r="B69" s="14">
        <v>1126</v>
      </c>
      <c r="C69" s="19" t="s">
        <v>183</v>
      </c>
      <c r="D69" s="15">
        <v>100126</v>
      </c>
      <c r="E69" s="20"/>
      <c r="F69" s="20"/>
      <c r="G69" s="20"/>
      <c r="H69" s="20"/>
      <c r="I69" s="30"/>
      <c r="J69" s="29"/>
      <c r="K69" s="29"/>
      <c r="L69" s="20"/>
      <c r="M69" s="20"/>
      <c r="N69" s="30"/>
      <c r="O69" s="30"/>
      <c r="P69" s="30"/>
      <c r="Q69" s="30">
        <v>50</v>
      </c>
      <c r="R69" s="39" t="s">
        <v>68</v>
      </c>
      <c r="S69" s="39" t="s">
        <v>68</v>
      </c>
      <c r="T69" s="20"/>
      <c r="U69" s="20" t="s">
        <v>69</v>
      </c>
      <c r="V69" s="20">
        <v>0</v>
      </c>
      <c r="W69" s="20"/>
      <c r="X69" s="20"/>
      <c r="Y69" s="57"/>
      <c r="Z69" s="19"/>
      <c r="AA69" s="58"/>
      <c r="AB69" s="20">
        <v>0</v>
      </c>
      <c r="AC69" s="20"/>
      <c r="AD69" s="20"/>
      <c r="AE69" s="20"/>
      <c r="AF69" s="20"/>
      <c r="AG69" s="20"/>
      <c r="AH69" s="20"/>
      <c r="AI69" s="14">
        <f t="shared" si="5"/>
        <v>0</v>
      </c>
      <c r="AJ69" s="30">
        <v>1</v>
      </c>
      <c r="AK69" s="14" t="str">
        <f t="shared" si="10"/>
        <v/>
      </c>
      <c r="AL69" s="20"/>
      <c r="AO69" s="14">
        <f t="shared" si="7"/>
        <v>0</v>
      </c>
      <c r="AP69" s="30">
        <v>1</v>
      </c>
      <c r="AQ69" s="14" t="str">
        <f t="shared" si="11"/>
        <v/>
      </c>
      <c r="AR69" s="20"/>
      <c r="AU69" s="14">
        <v>0</v>
      </c>
      <c r="AV69" s="30">
        <v>1</v>
      </c>
      <c r="AW69" s="14" t="str">
        <f t="shared" si="12"/>
        <v/>
      </c>
      <c r="AX69" s="20"/>
      <c r="BA69" s="1">
        <v>1</v>
      </c>
    </row>
    <row r="70" ht="27" spans="2:53">
      <c r="B70" s="14">
        <v>1127</v>
      </c>
      <c r="C70" s="16" t="s">
        <v>184</v>
      </c>
      <c r="D70" s="15">
        <v>100127</v>
      </c>
      <c r="E70" s="17"/>
      <c r="F70" s="17"/>
      <c r="G70" s="17"/>
      <c r="H70" s="17"/>
      <c r="I70" s="29"/>
      <c r="J70" s="29"/>
      <c r="K70" s="29"/>
      <c r="L70" s="17"/>
      <c r="M70" s="17"/>
      <c r="N70" s="29"/>
      <c r="O70" s="29"/>
      <c r="P70" s="29"/>
      <c r="Q70" s="29"/>
      <c r="R70" s="38" t="s">
        <v>68</v>
      </c>
      <c r="S70" s="38" t="s">
        <v>68</v>
      </c>
      <c r="T70" s="17"/>
      <c r="U70" s="17" t="s">
        <v>69</v>
      </c>
      <c r="V70" s="17">
        <v>0</v>
      </c>
      <c r="W70" s="17"/>
      <c r="X70" s="17"/>
      <c r="Y70" s="53"/>
      <c r="Z70" s="16"/>
      <c r="AA70" s="54">
        <v>1</v>
      </c>
      <c r="AB70" s="17" t="s">
        <v>185</v>
      </c>
      <c r="AC70" s="17" t="s">
        <v>186</v>
      </c>
      <c r="AD70" s="17" t="s">
        <v>187</v>
      </c>
      <c r="AE70" s="17" t="s">
        <v>188</v>
      </c>
      <c r="AF70" s="17" t="s">
        <v>189</v>
      </c>
      <c r="AG70" s="55" t="s">
        <v>190</v>
      </c>
      <c r="AH70" s="55"/>
      <c r="AI70" s="14">
        <f t="shared" si="5"/>
        <v>1</v>
      </c>
      <c r="AJ70" s="29">
        <v>0</v>
      </c>
      <c r="AK70" s="14" t="str">
        <f t="shared" si="10"/>
        <v>[1127,1,0];</v>
      </c>
      <c r="AL70" s="17"/>
      <c r="AO70" s="14">
        <f t="shared" si="7"/>
        <v>1</v>
      </c>
      <c r="AP70" s="29"/>
      <c r="AQ70" s="14" t="str">
        <f t="shared" si="11"/>
        <v>[1127,1,0];</v>
      </c>
      <c r="AR70" s="17"/>
      <c r="AU70" s="14">
        <v>1</v>
      </c>
      <c r="AV70" s="29">
        <v>1</v>
      </c>
      <c r="AW70" s="14" t="str">
        <f t="shared" si="12"/>
        <v/>
      </c>
      <c r="AX70" s="17"/>
      <c r="BA70" s="8">
        <v>0</v>
      </c>
    </row>
    <row r="71" spans="2:53">
      <c r="B71" s="14">
        <v>1128</v>
      </c>
      <c r="C71" s="16" t="s">
        <v>191</v>
      </c>
      <c r="D71" s="15">
        <v>100128</v>
      </c>
      <c r="E71" s="17"/>
      <c r="F71" s="17"/>
      <c r="G71" s="17"/>
      <c r="H71" s="17"/>
      <c r="I71" s="29"/>
      <c r="J71" s="29"/>
      <c r="K71" s="29"/>
      <c r="L71" s="17"/>
      <c r="M71" s="17"/>
      <c r="N71" s="29"/>
      <c r="O71" s="29"/>
      <c r="P71" s="29"/>
      <c r="Q71" s="29"/>
      <c r="R71" s="38" t="s">
        <v>68</v>
      </c>
      <c r="S71" s="38" t="s">
        <v>68</v>
      </c>
      <c r="T71" s="17"/>
      <c r="U71" s="17" t="s">
        <v>69</v>
      </c>
      <c r="V71" s="17">
        <v>0</v>
      </c>
      <c r="W71" s="17"/>
      <c r="X71" s="17"/>
      <c r="Y71" s="53"/>
      <c r="Z71" s="16"/>
      <c r="AA71" s="54">
        <v>3</v>
      </c>
      <c r="AB71" s="17" t="s">
        <v>185</v>
      </c>
      <c r="AC71" s="17" t="s">
        <v>186</v>
      </c>
      <c r="AD71" s="17" t="s">
        <v>187</v>
      </c>
      <c r="AE71" s="17" t="s">
        <v>188</v>
      </c>
      <c r="AF71" s="17" t="s">
        <v>189</v>
      </c>
      <c r="AG71" s="17"/>
      <c r="AH71" s="17"/>
      <c r="AI71" s="14">
        <f t="shared" ref="AI71:AI92" si="13">IF(AA71="",0,AA71)</f>
        <v>3</v>
      </c>
      <c r="AJ71" s="29">
        <v>0</v>
      </c>
      <c r="AK71" s="14" t="str">
        <f t="shared" ref="AK71:AK134" si="14">IF(AJ71=1,"",IF(B72="","["&amp;B71&amp;","&amp;AI71&amp;",0]","["&amp;B71&amp;","&amp;AI71&amp;",0];"))</f>
        <v>[1128,3,0];</v>
      </c>
      <c r="AL71" s="17"/>
      <c r="AO71" s="14">
        <f t="shared" ref="AO71:AO92" si="15">IF(AA71="",0,AA71)</f>
        <v>3</v>
      </c>
      <c r="AP71" s="29"/>
      <c r="AQ71" s="14" t="str">
        <f t="shared" ref="AQ71:AQ134" si="16">IF(AP71=1,"",IF(B72="","["&amp;B71&amp;","&amp;AO71&amp;",0]","["&amp;B71&amp;","&amp;AO71&amp;",0];"))</f>
        <v>[1128,3,0];</v>
      </c>
      <c r="AR71" s="17"/>
      <c r="AU71" s="14">
        <v>3</v>
      </c>
      <c r="AV71" s="29">
        <v>1</v>
      </c>
      <c r="AW71" s="14" t="str">
        <f t="shared" ref="AW71:AW134" si="17">IF(AV71=1,"",IF(B72="","["&amp;B71&amp;","&amp;AU71&amp;",0]","["&amp;B71&amp;","&amp;AU71&amp;",0];"))</f>
        <v/>
      </c>
      <c r="AX71" s="17"/>
      <c r="BA71" s="8">
        <v>0</v>
      </c>
    </row>
    <row r="72" spans="2:53">
      <c r="B72" s="14">
        <v>1129</v>
      </c>
      <c r="C72" s="16" t="s">
        <v>192</v>
      </c>
      <c r="D72" s="15">
        <v>100129</v>
      </c>
      <c r="E72" s="17"/>
      <c r="F72" s="17"/>
      <c r="G72" s="17"/>
      <c r="H72" s="17"/>
      <c r="I72" s="29"/>
      <c r="J72" s="29"/>
      <c r="K72" s="29"/>
      <c r="L72" s="17"/>
      <c r="M72" s="17"/>
      <c r="N72" s="29"/>
      <c r="O72" s="29"/>
      <c r="P72" s="29"/>
      <c r="Q72" s="29"/>
      <c r="R72" s="38" t="s">
        <v>68</v>
      </c>
      <c r="S72" s="38" t="s">
        <v>68</v>
      </c>
      <c r="T72" s="17"/>
      <c r="U72" s="17" t="s">
        <v>69</v>
      </c>
      <c r="V72" s="17">
        <v>0</v>
      </c>
      <c r="W72" s="17"/>
      <c r="X72" s="17"/>
      <c r="Y72" s="53"/>
      <c r="Z72" s="16"/>
      <c r="AA72" s="54">
        <v>2</v>
      </c>
      <c r="AB72" s="17" t="s">
        <v>185</v>
      </c>
      <c r="AC72" s="17" t="s">
        <v>186</v>
      </c>
      <c r="AD72" s="17" t="s">
        <v>187</v>
      </c>
      <c r="AE72" s="17" t="s">
        <v>188</v>
      </c>
      <c r="AF72" s="17" t="s">
        <v>189</v>
      </c>
      <c r="AG72" s="17"/>
      <c r="AH72" s="17"/>
      <c r="AI72" s="14">
        <f t="shared" si="13"/>
        <v>2</v>
      </c>
      <c r="AJ72" s="29">
        <v>0</v>
      </c>
      <c r="AK72" s="14" t="str">
        <f t="shared" si="14"/>
        <v>[1129,2,0];</v>
      </c>
      <c r="AL72" s="17"/>
      <c r="AO72" s="14">
        <f t="shared" si="15"/>
        <v>2</v>
      </c>
      <c r="AP72" s="29"/>
      <c r="AQ72" s="14" t="str">
        <f t="shared" si="16"/>
        <v>[1129,2,0];</v>
      </c>
      <c r="AR72" s="17"/>
      <c r="AU72" s="14">
        <v>2</v>
      </c>
      <c r="AV72" s="29">
        <v>1</v>
      </c>
      <c r="AW72" s="14" t="str">
        <f t="shared" si="17"/>
        <v/>
      </c>
      <c r="AX72" s="17"/>
      <c r="BA72" s="8">
        <v>0</v>
      </c>
    </row>
    <row r="73" ht="40.5" spans="2:53">
      <c r="B73" s="14">
        <v>1130</v>
      </c>
      <c r="C73" s="16" t="s">
        <v>193</v>
      </c>
      <c r="D73" s="15">
        <v>100130</v>
      </c>
      <c r="E73" s="17"/>
      <c r="F73" s="17"/>
      <c r="G73" s="17"/>
      <c r="H73" s="17"/>
      <c r="I73" s="29"/>
      <c r="J73" s="29"/>
      <c r="K73" s="29"/>
      <c r="L73" s="17"/>
      <c r="M73" s="17">
        <v>1</v>
      </c>
      <c r="N73" s="29"/>
      <c r="O73" s="29"/>
      <c r="P73" s="29"/>
      <c r="Q73" s="29"/>
      <c r="R73" s="38" t="s">
        <v>68</v>
      </c>
      <c r="S73" s="38" t="s">
        <v>68</v>
      </c>
      <c r="T73" s="17"/>
      <c r="U73" s="17" t="s">
        <v>69</v>
      </c>
      <c r="V73" s="17"/>
      <c r="W73" s="17">
        <v>1</v>
      </c>
      <c r="X73" s="17"/>
      <c r="Y73" s="53"/>
      <c r="Z73" s="16"/>
      <c r="AA73" s="54"/>
      <c r="AB73" s="55" t="s">
        <v>70</v>
      </c>
      <c r="AC73" s="55" t="s">
        <v>71</v>
      </c>
      <c r="AD73" s="56"/>
      <c r="AE73" s="56"/>
      <c r="AF73" s="17"/>
      <c r="AG73" s="17"/>
      <c r="AH73" s="17"/>
      <c r="AI73" s="14">
        <f t="shared" si="13"/>
        <v>0</v>
      </c>
      <c r="AJ73" s="29">
        <v>0</v>
      </c>
      <c r="AK73" s="14" t="str">
        <f t="shared" si="14"/>
        <v>[1130,0,0];</v>
      </c>
      <c r="AL73" s="56"/>
      <c r="AO73" s="14">
        <f t="shared" si="15"/>
        <v>0</v>
      </c>
      <c r="AP73" s="29"/>
      <c r="AQ73" s="14" t="str">
        <f t="shared" si="16"/>
        <v>[1130,0,0];</v>
      </c>
      <c r="AR73" s="56"/>
      <c r="AU73" s="14">
        <v>1</v>
      </c>
      <c r="AV73" s="29"/>
      <c r="AW73" s="14" t="str">
        <f t="shared" si="17"/>
        <v>[1130,1,0];</v>
      </c>
      <c r="AX73" s="56"/>
      <c r="BA73" s="8">
        <v>0</v>
      </c>
    </row>
    <row r="74" s="1" customFormat="1" spans="1:53">
      <c r="A74" s="18" t="s">
        <v>22</v>
      </c>
      <c r="B74" s="14">
        <v>1131</v>
      </c>
      <c r="C74" s="19" t="s">
        <v>194</v>
      </c>
      <c r="D74" s="15">
        <v>100131</v>
      </c>
      <c r="E74" s="20">
        <v>7</v>
      </c>
      <c r="F74" s="20"/>
      <c r="G74" s="20">
        <v>1</v>
      </c>
      <c r="H74" s="20">
        <v>1</v>
      </c>
      <c r="I74" s="30"/>
      <c r="J74" s="30"/>
      <c r="K74" s="30"/>
      <c r="L74" s="20"/>
      <c r="M74" s="20">
        <v>1</v>
      </c>
      <c r="N74" s="30"/>
      <c r="O74" s="30"/>
      <c r="P74" s="30"/>
      <c r="Q74" s="30"/>
      <c r="R74" s="39" t="s">
        <v>68</v>
      </c>
      <c r="S74" s="39" t="s">
        <v>68</v>
      </c>
      <c r="T74" s="20"/>
      <c r="U74" s="20" t="s">
        <v>69</v>
      </c>
      <c r="V74" s="20">
        <v>0</v>
      </c>
      <c r="W74" s="20"/>
      <c r="X74" s="20"/>
      <c r="Y74" s="57"/>
      <c r="Z74" s="19"/>
      <c r="AA74" s="58"/>
      <c r="AB74" s="59">
        <v>0</v>
      </c>
      <c r="AC74" s="59"/>
      <c r="AD74" s="60"/>
      <c r="AE74" s="60"/>
      <c r="AF74" s="20"/>
      <c r="AG74" s="20"/>
      <c r="AH74" s="20"/>
      <c r="AI74" s="14">
        <f t="shared" si="13"/>
        <v>0</v>
      </c>
      <c r="AJ74" s="30">
        <v>1</v>
      </c>
      <c r="AK74" s="14" t="str">
        <f t="shared" si="14"/>
        <v/>
      </c>
      <c r="AL74" s="60"/>
      <c r="AO74" s="14">
        <f t="shared" si="15"/>
        <v>0</v>
      </c>
      <c r="AP74" s="30">
        <v>1</v>
      </c>
      <c r="AQ74" s="14" t="str">
        <f t="shared" si="16"/>
        <v/>
      </c>
      <c r="AR74" s="60"/>
      <c r="AU74" s="14">
        <v>0</v>
      </c>
      <c r="AV74" s="30">
        <v>1</v>
      </c>
      <c r="AW74" s="14" t="str">
        <f t="shared" si="17"/>
        <v/>
      </c>
      <c r="AX74" s="60"/>
      <c r="BA74" s="1">
        <v>1</v>
      </c>
    </row>
    <row r="75" s="1" customFormat="1" spans="1:53">
      <c r="A75" s="18" t="s">
        <v>22</v>
      </c>
      <c r="B75" s="14">
        <v>1132</v>
      </c>
      <c r="C75" s="19" t="s">
        <v>195</v>
      </c>
      <c r="D75" s="15">
        <v>100132</v>
      </c>
      <c r="E75" s="20">
        <v>7</v>
      </c>
      <c r="F75" s="20"/>
      <c r="G75" s="20">
        <v>1</v>
      </c>
      <c r="H75" s="20">
        <v>1</v>
      </c>
      <c r="I75" s="30"/>
      <c r="J75" s="30"/>
      <c r="K75" s="30"/>
      <c r="L75" s="20"/>
      <c r="M75" s="20">
        <v>1</v>
      </c>
      <c r="N75" s="30"/>
      <c r="O75" s="30"/>
      <c r="P75" s="30"/>
      <c r="Q75" s="30"/>
      <c r="R75" s="39" t="s">
        <v>68</v>
      </c>
      <c r="S75" s="39" t="s">
        <v>68</v>
      </c>
      <c r="T75" s="20"/>
      <c r="U75" s="20" t="s">
        <v>69</v>
      </c>
      <c r="V75" s="20">
        <v>0</v>
      </c>
      <c r="W75" s="20"/>
      <c r="X75" s="20"/>
      <c r="Y75" s="57"/>
      <c r="Z75" s="19"/>
      <c r="AA75" s="58"/>
      <c r="AB75" s="59">
        <v>0</v>
      </c>
      <c r="AC75" s="59"/>
      <c r="AD75" s="60"/>
      <c r="AE75" s="60"/>
      <c r="AF75" s="20"/>
      <c r="AG75" s="20"/>
      <c r="AH75" s="20"/>
      <c r="AI75" s="14">
        <f t="shared" si="13"/>
        <v>0</v>
      </c>
      <c r="AJ75" s="30">
        <v>1</v>
      </c>
      <c r="AK75" s="14" t="str">
        <f t="shared" si="14"/>
        <v/>
      </c>
      <c r="AL75" s="60"/>
      <c r="AO75" s="14">
        <f t="shared" si="15"/>
        <v>0</v>
      </c>
      <c r="AP75" s="30">
        <v>1</v>
      </c>
      <c r="AQ75" s="14" t="str">
        <f t="shared" si="16"/>
        <v/>
      </c>
      <c r="AR75" s="60"/>
      <c r="AU75" s="14">
        <v>0</v>
      </c>
      <c r="AV75" s="30">
        <v>1</v>
      </c>
      <c r="AW75" s="14" t="str">
        <f t="shared" si="17"/>
        <v/>
      </c>
      <c r="AX75" s="60"/>
      <c r="BA75" s="1">
        <v>1</v>
      </c>
    </row>
    <row r="76" ht="40.5" spans="2:53">
      <c r="B76" s="14">
        <v>1133</v>
      </c>
      <c r="C76" s="16" t="s">
        <v>196</v>
      </c>
      <c r="D76" s="15">
        <v>100133</v>
      </c>
      <c r="E76" s="17"/>
      <c r="F76" s="17"/>
      <c r="G76" s="17"/>
      <c r="H76" s="17"/>
      <c r="I76" s="29"/>
      <c r="J76" s="29"/>
      <c r="K76" s="29"/>
      <c r="L76" s="17"/>
      <c r="M76" s="17"/>
      <c r="N76" s="29"/>
      <c r="O76" s="29"/>
      <c r="P76" s="29"/>
      <c r="Q76" s="29"/>
      <c r="R76" s="38" t="s">
        <v>68</v>
      </c>
      <c r="S76" s="38" t="s">
        <v>68</v>
      </c>
      <c r="T76" s="17"/>
      <c r="U76" s="17" t="s">
        <v>69</v>
      </c>
      <c r="V76" s="17"/>
      <c r="W76" s="17">
        <v>1</v>
      </c>
      <c r="X76" s="17"/>
      <c r="Y76" s="53"/>
      <c r="Z76" s="16"/>
      <c r="AA76" s="54"/>
      <c r="AB76" s="55" t="s">
        <v>197</v>
      </c>
      <c r="AC76" s="55" t="s">
        <v>198</v>
      </c>
      <c r="AD76" s="56"/>
      <c r="AE76" s="56"/>
      <c r="AF76" s="17"/>
      <c r="AG76" s="17"/>
      <c r="AH76" s="17"/>
      <c r="AI76" s="14">
        <f t="shared" si="13"/>
        <v>0</v>
      </c>
      <c r="AJ76" s="29">
        <v>0</v>
      </c>
      <c r="AK76" s="14" t="str">
        <f t="shared" si="14"/>
        <v>[1133,0,0];</v>
      </c>
      <c r="AL76" s="56"/>
      <c r="AO76" s="14">
        <f t="shared" si="15"/>
        <v>0</v>
      </c>
      <c r="AP76" s="29"/>
      <c r="AQ76" s="14" t="str">
        <f t="shared" si="16"/>
        <v>[1133,0,0];</v>
      </c>
      <c r="AR76" s="56"/>
      <c r="AU76" s="14">
        <v>1</v>
      </c>
      <c r="AV76" s="29"/>
      <c r="AW76" s="14" t="str">
        <f t="shared" si="17"/>
        <v>[1133,1,0];</v>
      </c>
      <c r="AX76" s="56"/>
      <c r="BA76" s="8">
        <v>0</v>
      </c>
    </row>
    <row r="77" s="4" customFormat="1" spans="1:53">
      <c r="A77" s="18" t="s">
        <v>22</v>
      </c>
      <c r="B77" s="14">
        <v>1134</v>
      </c>
      <c r="C77" s="72" t="s">
        <v>199</v>
      </c>
      <c r="D77" s="15">
        <v>100134</v>
      </c>
      <c r="E77" s="73"/>
      <c r="F77" s="73"/>
      <c r="G77" s="73"/>
      <c r="H77" s="73"/>
      <c r="I77" s="77"/>
      <c r="J77" s="77"/>
      <c r="K77" s="77"/>
      <c r="L77" s="73"/>
      <c r="M77" s="73"/>
      <c r="N77" s="77"/>
      <c r="O77" s="77"/>
      <c r="P77" s="77"/>
      <c r="Q77" s="77"/>
      <c r="R77" s="79" t="s">
        <v>68</v>
      </c>
      <c r="S77" s="79" t="s">
        <v>68</v>
      </c>
      <c r="T77" s="73"/>
      <c r="U77" s="73" t="s">
        <v>69</v>
      </c>
      <c r="V77" s="73">
        <v>0</v>
      </c>
      <c r="W77" s="73"/>
      <c r="X77" s="73"/>
      <c r="Y77" s="81"/>
      <c r="Z77" s="72"/>
      <c r="AA77" s="82"/>
      <c r="AB77" s="73">
        <v>0</v>
      </c>
      <c r="AC77" s="83">
        <v>1</v>
      </c>
      <c r="AD77" s="73"/>
      <c r="AE77" s="84"/>
      <c r="AF77" s="73"/>
      <c r="AG77" s="73"/>
      <c r="AH77" s="73"/>
      <c r="AI77" s="73">
        <f t="shared" si="13"/>
        <v>0</v>
      </c>
      <c r="AJ77" s="77">
        <v>1</v>
      </c>
      <c r="AK77" s="14" t="str">
        <f t="shared" si="14"/>
        <v/>
      </c>
      <c r="AL77" s="84"/>
      <c r="AO77" s="73">
        <f t="shared" si="15"/>
        <v>0</v>
      </c>
      <c r="AP77" s="77">
        <v>1</v>
      </c>
      <c r="AQ77" s="14" t="str">
        <f t="shared" si="16"/>
        <v/>
      </c>
      <c r="AR77" s="84"/>
      <c r="AU77" s="14">
        <v>0</v>
      </c>
      <c r="AV77" s="77">
        <v>1</v>
      </c>
      <c r="AW77" s="14" t="str">
        <f t="shared" si="17"/>
        <v/>
      </c>
      <c r="AX77" s="84"/>
      <c r="BA77" s="4">
        <v>0</v>
      </c>
    </row>
    <row r="78" ht="40.5" spans="2:53">
      <c r="B78" s="14">
        <v>1135</v>
      </c>
      <c r="C78" s="16" t="s">
        <v>200</v>
      </c>
      <c r="D78" s="15">
        <v>100135</v>
      </c>
      <c r="E78" s="17"/>
      <c r="F78" s="17"/>
      <c r="G78" s="17"/>
      <c r="H78" s="17"/>
      <c r="I78" s="29"/>
      <c r="J78" s="29"/>
      <c r="K78" s="29"/>
      <c r="L78" s="17"/>
      <c r="M78" s="17"/>
      <c r="N78" s="29"/>
      <c r="O78" s="29"/>
      <c r="P78" s="29"/>
      <c r="Q78" s="29"/>
      <c r="R78" s="38" t="s">
        <v>68</v>
      </c>
      <c r="S78" s="38" t="s">
        <v>68</v>
      </c>
      <c r="T78" s="17"/>
      <c r="U78" s="17" t="s">
        <v>69</v>
      </c>
      <c r="V78" s="17"/>
      <c r="W78" s="17">
        <v>1</v>
      </c>
      <c r="X78" s="17"/>
      <c r="Y78" s="53"/>
      <c r="Z78" s="16"/>
      <c r="AA78" s="54"/>
      <c r="AB78" s="17">
        <v>0</v>
      </c>
      <c r="AC78" s="55" t="s">
        <v>201</v>
      </c>
      <c r="AD78" s="55" t="s">
        <v>202</v>
      </c>
      <c r="AE78" s="56"/>
      <c r="AF78" s="55" t="s">
        <v>203</v>
      </c>
      <c r="AG78" s="55" t="s">
        <v>204</v>
      </c>
      <c r="AH78" s="55"/>
      <c r="AI78" s="14">
        <f t="shared" si="13"/>
        <v>0</v>
      </c>
      <c r="AJ78" s="29">
        <v>0</v>
      </c>
      <c r="AK78" s="14" t="str">
        <f t="shared" si="14"/>
        <v>[1135,0,0];</v>
      </c>
      <c r="AL78" s="56"/>
      <c r="AO78" s="14">
        <f t="shared" si="15"/>
        <v>0</v>
      </c>
      <c r="AP78" s="29"/>
      <c r="AQ78" s="14" t="str">
        <f t="shared" si="16"/>
        <v>[1135,0,0];</v>
      </c>
      <c r="AR78" s="56"/>
      <c r="AU78" s="14">
        <v>0</v>
      </c>
      <c r="AV78" s="29"/>
      <c r="AW78" s="14" t="str">
        <f t="shared" si="17"/>
        <v>[1135,0,0];</v>
      </c>
      <c r="AX78" s="56"/>
      <c r="BA78" s="8">
        <v>0</v>
      </c>
    </row>
    <row r="79" s="1" customFormat="1" spans="1:53">
      <c r="A79" s="18" t="s">
        <v>22</v>
      </c>
      <c r="B79" s="14">
        <v>1136</v>
      </c>
      <c r="C79" s="19" t="s">
        <v>205</v>
      </c>
      <c r="D79" s="15">
        <v>100136</v>
      </c>
      <c r="E79" s="20">
        <v>7</v>
      </c>
      <c r="F79" s="20"/>
      <c r="G79" s="20"/>
      <c r="H79" s="20"/>
      <c r="I79" s="30"/>
      <c r="J79" s="29"/>
      <c r="K79" s="29"/>
      <c r="L79" s="20"/>
      <c r="M79" s="20">
        <v>1</v>
      </c>
      <c r="N79" s="30"/>
      <c r="O79" s="30"/>
      <c r="P79" s="30"/>
      <c r="Q79" s="30">
        <v>130</v>
      </c>
      <c r="R79" s="39" t="s">
        <v>68</v>
      </c>
      <c r="S79" s="39" t="s">
        <v>68</v>
      </c>
      <c r="T79" s="20"/>
      <c r="U79" s="20" t="s">
        <v>69</v>
      </c>
      <c r="V79" s="20">
        <v>0</v>
      </c>
      <c r="W79" s="20"/>
      <c r="X79" s="20"/>
      <c r="Y79" s="57"/>
      <c r="Z79" s="19"/>
      <c r="AA79" s="58"/>
      <c r="AB79" s="20">
        <v>0</v>
      </c>
      <c r="AC79" s="59"/>
      <c r="AD79" s="60"/>
      <c r="AE79" s="60"/>
      <c r="AF79" s="20"/>
      <c r="AG79" s="20"/>
      <c r="AH79" s="20"/>
      <c r="AI79" s="14">
        <f t="shared" si="13"/>
        <v>0</v>
      </c>
      <c r="AJ79" s="30">
        <v>1</v>
      </c>
      <c r="AK79" s="14" t="str">
        <f t="shared" si="14"/>
        <v/>
      </c>
      <c r="AL79" s="60"/>
      <c r="AO79" s="14">
        <f t="shared" si="15"/>
        <v>0</v>
      </c>
      <c r="AP79" s="30">
        <v>1</v>
      </c>
      <c r="AQ79" s="14" t="str">
        <f t="shared" si="16"/>
        <v/>
      </c>
      <c r="AR79" s="60"/>
      <c r="AU79" s="14">
        <v>0</v>
      </c>
      <c r="AV79" s="30">
        <v>1</v>
      </c>
      <c r="AW79" s="14" t="str">
        <f t="shared" si="17"/>
        <v/>
      </c>
      <c r="AX79" s="60"/>
      <c r="BA79" s="1">
        <v>1</v>
      </c>
    </row>
    <row r="80" ht="27" spans="2:53">
      <c r="B80" s="14">
        <v>1137</v>
      </c>
      <c r="C80" s="16" t="s">
        <v>206</v>
      </c>
      <c r="D80" s="15">
        <v>100137</v>
      </c>
      <c r="E80" s="17"/>
      <c r="F80" s="17"/>
      <c r="G80" s="17"/>
      <c r="H80" s="17"/>
      <c r="I80" s="29"/>
      <c r="J80" s="29"/>
      <c r="K80" s="29"/>
      <c r="L80" s="17"/>
      <c r="M80" s="17"/>
      <c r="N80" s="29"/>
      <c r="O80" s="29"/>
      <c r="P80" s="29"/>
      <c r="Q80" s="29"/>
      <c r="R80" s="38" t="s">
        <v>68</v>
      </c>
      <c r="S80" s="38" t="s">
        <v>68</v>
      </c>
      <c r="T80" s="17"/>
      <c r="U80" s="17" t="s">
        <v>69</v>
      </c>
      <c r="V80" s="17"/>
      <c r="W80" s="17">
        <v>1</v>
      </c>
      <c r="X80" s="17"/>
      <c r="Y80" s="53"/>
      <c r="Z80" s="16"/>
      <c r="AA80" s="54"/>
      <c r="AB80" s="55" t="s">
        <v>169</v>
      </c>
      <c r="AC80" s="55" t="s">
        <v>207</v>
      </c>
      <c r="AD80" s="56"/>
      <c r="AE80" s="56"/>
      <c r="AF80" s="17"/>
      <c r="AG80" s="17"/>
      <c r="AH80" s="17"/>
      <c r="AI80" s="14">
        <f t="shared" si="13"/>
        <v>0</v>
      </c>
      <c r="AJ80" s="29">
        <v>0</v>
      </c>
      <c r="AK80" s="14" t="str">
        <f t="shared" si="14"/>
        <v>[1137,0,0];</v>
      </c>
      <c r="AL80" s="56"/>
      <c r="AO80" s="14">
        <f t="shared" si="15"/>
        <v>0</v>
      </c>
      <c r="AP80" s="29"/>
      <c r="AQ80" s="14" t="str">
        <f t="shared" si="16"/>
        <v>[1137,0,0];</v>
      </c>
      <c r="AR80" s="56"/>
      <c r="AU80" s="14">
        <v>0</v>
      </c>
      <c r="AV80" s="29"/>
      <c r="AW80" s="14" t="str">
        <f t="shared" si="17"/>
        <v>[1137,0,0];</v>
      </c>
      <c r="AX80" s="56"/>
      <c r="BA80" s="8">
        <v>0</v>
      </c>
    </row>
    <row r="81" ht="40.5" spans="2:53">
      <c r="B81" s="14">
        <v>1138</v>
      </c>
      <c r="C81" s="16" t="s">
        <v>208</v>
      </c>
      <c r="D81" s="15">
        <v>100138</v>
      </c>
      <c r="E81" s="17"/>
      <c r="F81" s="17"/>
      <c r="G81" s="17"/>
      <c r="H81" s="17"/>
      <c r="I81" s="29"/>
      <c r="J81" s="29"/>
      <c r="K81" s="29"/>
      <c r="L81" s="17"/>
      <c r="M81" s="17">
        <v>1</v>
      </c>
      <c r="N81" s="29"/>
      <c r="O81" s="29"/>
      <c r="P81" s="29"/>
      <c r="Q81" s="29">
        <v>130</v>
      </c>
      <c r="R81" s="38" t="s">
        <v>68</v>
      </c>
      <c r="S81" s="38" t="s">
        <v>68</v>
      </c>
      <c r="T81" s="17"/>
      <c r="U81" s="17" t="s">
        <v>69</v>
      </c>
      <c r="V81" s="17"/>
      <c r="W81" s="17">
        <v>1</v>
      </c>
      <c r="X81" s="17"/>
      <c r="Y81" s="53"/>
      <c r="Z81" s="16"/>
      <c r="AA81" s="54"/>
      <c r="AB81" s="55" t="s">
        <v>70</v>
      </c>
      <c r="AC81" s="55" t="s">
        <v>71</v>
      </c>
      <c r="AD81" s="56"/>
      <c r="AE81" s="56"/>
      <c r="AF81" s="17"/>
      <c r="AG81" s="17"/>
      <c r="AH81" s="17"/>
      <c r="AI81" s="14">
        <f t="shared" si="13"/>
        <v>0</v>
      </c>
      <c r="AJ81" s="29">
        <v>0</v>
      </c>
      <c r="AK81" s="14" t="str">
        <f t="shared" si="14"/>
        <v>[1138,0,0];</v>
      </c>
      <c r="AL81" s="56"/>
      <c r="AO81" s="14">
        <f t="shared" si="15"/>
        <v>0</v>
      </c>
      <c r="AP81" s="29"/>
      <c r="AQ81" s="14" t="str">
        <f t="shared" si="16"/>
        <v>[1138,0,0];</v>
      </c>
      <c r="AR81" s="56"/>
      <c r="AU81" s="14">
        <v>0</v>
      </c>
      <c r="AV81" s="29"/>
      <c r="AW81" s="14" t="str">
        <f t="shared" si="17"/>
        <v>[1138,0,0];</v>
      </c>
      <c r="AX81" s="56"/>
      <c r="BA81" s="8">
        <v>0</v>
      </c>
    </row>
    <row r="82" s="1" customFormat="1" spans="1:53">
      <c r="A82" s="18" t="s">
        <v>22</v>
      </c>
      <c r="B82" s="14">
        <v>1139</v>
      </c>
      <c r="C82" s="19" t="s">
        <v>209</v>
      </c>
      <c r="D82" s="15">
        <v>100139</v>
      </c>
      <c r="E82" s="20">
        <v>7</v>
      </c>
      <c r="F82" s="20"/>
      <c r="G82" s="20">
        <v>1</v>
      </c>
      <c r="H82" s="20">
        <v>1</v>
      </c>
      <c r="I82" s="30"/>
      <c r="J82" s="30"/>
      <c r="K82" s="30"/>
      <c r="L82" s="20"/>
      <c r="M82" s="20">
        <v>1</v>
      </c>
      <c r="N82" s="30"/>
      <c r="O82" s="30"/>
      <c r="P82" s="30"/>
      <c r="Q82" s="30"/>
      <c r="R82" s="39" t="s">
        <v>68</v>
      </c>
      <c r="S82" s="39" t="s">
        <v>68</v>
      </c>
      <c r="T82" s="20"/>
      <c r="U82" s="20" t="s">
        <v>69</v>
      </c>
      <c r="V82" s="20">
        <v>0</v>
      </c>
      <c r="W82" s="20"/>
      <c r="X82" s="20"/>
      <c r="Y82" s="57"/>
      <c r="Z82" s="19"/>
      <c r="AA82" s="58"/>
      <c r="AB82" s="59">
        <v>0</v>
      </c>
      <c r="AC82" s="59"/>
      <c r="AD82" s="60"/>
      <c r="AE82" s="60"/>
      <c r="AF82" s="20"/>
      <c r="AG82" s="20"/>
      <c r="AH82" s="20"/>
      <c r="AI82" s="14">
        <f t="shared" si="13"/>
        <v>0</v>
      </c>
      <c r="AJ82" s="30">
        <v>1</v>
      </c>
      <c r="AK82" s="14" t="str">
        <f t="shared" si="14"/>
        <v/>
      </c>
      <c r="AL82" s="60"/>
      <c r="AO82" s="14">
        <f t="shared" si="15"/>
        <v>0</v>
      </c>
      <c r="AP82" s="30">
        <v>1</v>
      </c>
      <c r="AQ82" s="14" t="str">
        <f t="shared" si="16"/>
        <v/>
      </c>
      <c r="AR82" s="60"/>
      <c r="AU82" s="14">
        <v>0</v>
      </c>
      <c r="AV82" s="30">
        <v>1</v>
      </c>
      <c r="AW82" s="14" t="str">
        <f t="shared" si="17"/>
        <v/>
      </c>
      <c r="AX82" s="60"/>
      <c r="BA82" s="1">
        <v>1</v>
      </c>
    </row>
    <row r="83" ht="40.5" spans="2:53">
      <c r="B83" s="14">
        <v>1140</v>
      </c>
      <c r="C83" s="16" t="s">
        <v>210</v>
      </c>
      <c r="D83" s="15">
        <v>100140</v>
      </c>
      <c r="E83" s="17"/>
      <c r="F83" s="17"/>
      <c r="G83" s="17"/>
      <c r="H83" s="17"/>
      <c r="I83" s="29"/>
      <c r="J83" s="29"/>
      <c r="K83" s="29"/>
      <c r="L83" s="17"/>
      <c r="M83" s="17">
        <v>1</v>
      </c>
      <c r="N83" s="29"/>
      <c r="O83" s="29"/>
      <c r="P83" s="29"/>
      <c r="Q83" s="29">
        <v>130</v>
      </c>
      <c r="R83" s="38" t="s">
        <v>68</v>
      </c>
      <c r="S83" s="38" t="s">
        <v>68</v>
      </c>
      <c r="T83" s="17"/>
      <c r="U83" s="17" t="s">
        <v>69</v>
      </c>
      <c r="V83" s="17"/>
      <c r="W83" s="17">
        <v>1</v>
      </c>
      <c r="X83" s="17"/>
      <c r="Y83" s="53"/>
      <c r="Z83" s="16"/>
      <c r="AA83" s="54"/>
      <c r="AB83" s="55" t="s">
        <v>70</v>
      </c>
      <c r="AC83" s="55" t="s">
        <v>71</v>
      </c>
      <c r="AD83" s="56"/>
      <c r="AE83" s="56"/>
      <c r="AF83" s="17"/>
      <c r="AG83" s="17"/>
      <c r="AH83" s="17"/>
      <c r="AI83" s="14">
        <f t="shared" si="13"/>
        <v>0</v>
      </c>
      <c r="AJ83" s="29">
        <v>0</v>
      </c>
      <c r="AK83" s="14" t="str">
        <f t="shared" si="14"/>
        <v>[1140,0,0];</v>
      </c>
      <c r="AL83" s="56"/>
      <c r="AO83" s="14">
        <f t="shared" si="15"/>
        <v>0</v>
      </c>
      <c r="AP83" s="29"/>
      <c r="AQ83" s="14" t="str">
        <f t="shared" si="16"/>
        <v>[1140,0,0];</v>
      </c>
      <c r="AR83" s="56"/>
      <c r="AU83" s="14">
        <v>0</v>
      </c>
      <c r="AV83" s="29"/>
      <c r="AW83" s="14" t="str">
        <f t="shared" si="17"/>
        <v>[1140,0,0];</v>
      </c>
      <c r="AX83" s="56"/>
      <c r="BA83" s="8">
        <v>0</v>
      </c>
    </row>
    <row r="84" s="1" customFormat="1" spans="1:53">
      <c r="A84" s="18" t="s">
        <v>22</v>
      </c>
      <c r="B84" s="14">
        <v>1141</v>
      </c>
      <c r="C84" s="19" t="s">
        <v>211</v>
      </c>
      <c r="D84" s="15">
        <v>100141</v>
      </c>
      <c r="E84" s="20">
        <v>7</v>
      </c>
      <c r="F84" s="20"/>
      <c r="G84" s="20">
        <v>1</v>
      </c>
      <c r="H84" s="20">
        <v>1</v>
      </c>
      <c r="I84" s="30"/>
      <c r="J84" s="30"/>
      <c r="K84" s="30"/>
      <c r="L84" s="20"/>
      <c r="M84" s="20">
        <v>1</v>
      </c>
      <c r="N84" s="30"/>
      <c r="O84" s="30"/>
      <c r="P84" s="30"/>
      <c r="Q84" s="30"/>
      <c r="R84" s="39" t="s">
        <v>68</v>
      </c>
      <c r="S84" s="39" t="s">
        <v>68</v>
      </c>
      <c r="T84" s="20"/>
      <c r="U84" s="20" t="s">
        <v>69</v>
      </c>
      <c r="V84" s="20">
        <v>0</v>
      </c>
      <c r="W84" s="20"/>
      <c r="X84" s="20"/>
      <c r="Y84" s="57"/>
      <c r="Z84" s="19"/>
      <c r="AA84" s="58"/>
      <c r="AB84" s="59">
        <v>0</v>
      </c>
      <c r="AC84" s="59"/>
      <c r="AD84" s="60"/>
      <c r="AE84" s="60"/>
      <c r="AF84" s="20"/>
      <c r="AG84" s="20"/>
      <c r="AH84" s="20"/>
      <c r="AI84" s="14">
        <f t="shared" si="13"/>
        <v>0</v>
      </c>
      <c r="AJ84" s="30">
        <v>1</v>
      </c>
      <c r="AK84" s="14" t="str">
        <f t="shared" si="14"/>
        <v/>
      </c>
      <c r="AL84" s="60"/>
      <c r="AO84" s="14">
        <f t="shared" si="15"/>
        <v>0</v>
      </c>
      <c r="AP84" s="30">
        <v>1</v>
      </c>
      <c r="AQ84" s="14" t="str">
        <f t="shared" si="16"/>
        <v/>
      </c>
      <c r="AR84" s="60"/>
      <c r="AU84" s="14">
        <v>0</v>
      </c>
      <c r="AV84" s="30">
        <v>1</v>
      </c>
      <c r="AW84" s="14" t="str">
        <f t="shared" si="17"/>
        <v/>
      </c>
      <c r="AX84" s="60"/>
      <c r="BA84" s="1">
        <v>1</v>
      </c>
    </row>
    <row r="85" spans="2:53">
      <c r="B85" s="14">
        <v>1142</v>
      </c>
      <c r="C85" s="16" t="s">
        <v>212</v>
      </c>
      <c r="D85" s="15">
        <v>100142</v>
      </c>
      <c r="E85" s="17"/>
      <c r="F85" s="17"/>
      <c r="G85" s="17"/>
      <c r="H85" s="17"/>
      <c r="I85" s="29"/>
      <c r="J85" s="29"/>
      <c r="K85" s="29"/>
      <c r="L85" s="17"/>
      <c r="M85" s="17"/>
      <c r="N85" s="29"/>
      <c r="O85" s="29"/>
      <c r="P85" s="29"/>
      <c r="Q85" s="29">
        <v>130</v>
      </c>
      <c r="R85" s="38" t="s">
        <v>68</v>
      </c>
      <c r="S85" s="38" t="s">
        <v>68</v>
      </c>
      <c r="T85" s="17"/>
      <c r="U85" s="17" t="s">
        <v>69</v>
      </c>
      <c r="V85" s="17">
        <v>0</v>
      </c>
      <c r="W85" s="17"/>
      <c r="X85" s="17"/>
      <c r="Y85" s="53"/>
      <c r="Z85" s="16"/>
      <c r="AA85" s="54"/>
      <c r="AB85" s="55">
        <v>0</v>
      </c>
      <c r="AC85" s="55">
        <v>1</v>
      </c>
      <c r="AD85" s="56"/>
      <c r="AE85" s="56"/>
      <c r="AF85" s="17"/>
      <c r="AG85" s="17"/>
      <c r="AH85" s="17"/>
      <c r="AI85" s="14">
        <f t="shared" si="13"/>
        <v>0</v>
      </c>
      <c r="AJ85" s="29">
        <v>1</v>
      </c>
      <c r="AK85" s="14" t="str">
        <f t="shared" si="14"/>
        <v/>
      </c>
      <c r="AL85" s="56"/>
      <c r="AO85" s="14">
        <f t="shared" si="15"/>
        <v>0</v>
      </c>
      <c r="AP85" s="29"/>
      <c r="AQ85" s="14" t="str">
        <f t="shared" si="16"/>
        <v>[1142,0,0];</v>
      </c>
      <c r="AR85" s="56"/>
      <c r="AU85" s="14">
        <v>0</v>
      </c>
      <c r="AV85" s="29">
        <v>1</v>
      </c>
      <c r="AW85" s="14" t="str">
        <f t="shared" si="17"/>
        <v/>
      </c>
      <c r="AX85" s="56"/>
      <c r="BA85" s="8">
        <v>1</v>
      </c>
    </row>
    <row r="86" spans="2:53">
      <c r="B86" s="14">
        <v>1143</v>
      </c>
      <c r="C86" s="16" t="s">
        <v>213</v>
      </c>
      <c r="D86" s="15">
        <v>100143</v>
      </c>
      <c r="E86" s="17"/>
      <c r="F86" s="17"/>
      <c r="G86" s="17"/>
      <c r="H86" s="17"/>
      <c r="I86" s="29"/>
      <c r="J86" s="29"/>
      <c r="K86" s="29"/>
      <c r="L86" s="17"/>
      <c r="M86" s="17"/>
      <c r="N86" s="29"/>
      <c r="O86" s="29"/>
      <c r="P86" s="29"/>
      <c r="Q86" s="29">
        <v>130</v>
      </c>
      <c r="R86" s="38" t="s">
        <v>68</v>
      </c>
      <c r="S86" s="38" t="s">
        <v>68</v>
      </c>
      <c r="T86" s="17"/>
      <c r="U86" s="17" t="s">
        <v>69</v>
      </c>
      <c r="V86" s="17">
        <v>0</v>
      </c>
      <c r="W86" s="17"/>
      <c r="X86" s="17"/>
      <c r="Y86" s="53"/>
      <c r="Z86" s="16"/>
      <c r="AA86" s="54"/>
      <c r="AB86" s="55">
        <v>0</v>
      </c>
      <c r="AC86" s="55">
        <v>1</v>
      </c>
      <c r="AD86" s="56"/>
      <c r="AE86" s="56"/>
      <c r="AF86" s="17"/>
      <c r="AG86" s="17"/>
      <c r="AH86" s="17"/>
      <c r="AI86" s="14">
        <f t="shared" si="13"/>
        <v>0</v>
      </c>
      <c r="AJ86" s="29">
        <v>1</v>
      </c>
      <c r="AK86" s="14" t="str">
        <f t="shared" si="14"/>
        <v/>
      </c>
      <c r="AL86" s="56"/>
      <c r="AO86" s="14">
        <f t="shared" si="15"/>
        <v>0</v>
      </c>
      <c r="AP86" s="29"/>
      <c r="AQ86" s="14" t="str">
        <f t="shared" si="16"/>
        <v>[1143,0,0];</v>
      </c>
      <c r="AR86" s="56"/>
      <c r="AU86" s="14">
        <v>0</v>
      </c>
      <c r="AV86" s="29">
        <v>1</v>
      </c>
      <c r="AW86" s="14" t="str">
        <f t="shared" si="17"/>
        <v/>
      </c>
      <c r="AX86" s="56"/>
      <c r="BA86" s="8">
        <v>1</v>
      </c>
    </row>
    <row r="87" spans="2:53">
      <c r="B87" s="14">
        <v>1144</v>
      </c>
      <c r="C87" s="16" t="s">
        <v>214</v>
      </c>
      <c r="D87" s="15">
        <v>100144</v>
      </c>
      <c r="E87" s="17"/>
      <c r="F87" s="17"/>
      <c r="G87" s="17"/>
      <c r="H87" s="17"/>
      <c r="I87" s="29"/>
      <c r="J87" s="29"/>
      <c r="K87" s="29"/>
      <c r="L87" s="17"/>
      <c r="M87" s="17"/>
      <c r="N87" s="29"/>
      <c r="O87" s="29"/>
      <c r="P87" s="29"/>
      <c r="Q87" s="29">
        <v>130</v>
      </c>
      <c r="R87" s="38" t="s">
        <v>68</v>
      </c>
      <c r="S87" s="38" t="s">
        <v>68</v>
      </c>
      <c r="T87" s="17"/>
      <c r="U87" s="17" t="s">
        <v>69</v>
      </c>
      <c r="V87" s="17">
        <v>0</v>
      </c>
      <c r="W87" s="17"/>
      <c r="X87" s="17"/>
      <c r="Y87" s="53"/>
      <c r="Z87" s="16"/>
      <c r="AA87" s="54"/>
      <c r="AB87" s="55">
        <v>0</v>
      </c>
      <c r="AC87" s="55">
        <v>1</v>
      </c>
      <c r="AD87" s="56"/>
      <c r="AE87" s="56"/>
      <c r="AF87" s="17"/>
      <c r="AG87" s="17"/>
      <c r="AH87" s="17"/>
      <c r="AI87" s="14">
        <f t="shared" si="13"/>
        <v>0</v>
      </c>
      <c r="AJ87" s="29">
        <v>1</v>
      </c>
      <c r="AK87" s="14" t="str">
        <f t="shared" si="14"/>
        <v/>
      </c>
      <c r="AL87" s="56"/>
      <c r="AO87" s="14">
        <f t="shared" si="15"/>
        <v>0</v>
      </c>
      <c r="AP87" s="29">
        <v>1</v>
      </c>
      <c r="AQ87" s="14" t="str">
        <f t="shared" si="16"/>
        <v/>
      </c>
      <c r="AR87" s="56"/>
      <c r="AU87" s="14">
        <v>0</v>
      </c>
      <c r="AV87" s="29">
        <v>1</v>
      </c>
      <c r="AW87" s="14" t="str">
        <f t="shared" si="17"/>
        <v/>
      </c>
      <c r="AX87" s="56"/>
      <c r="BA87" s="8">
        <v>1</v>
      </c>
    </row>
    <row r="88" ht="27" spans="2:53">
      <c r="B88" s="14">
        <v>1145</v>
      </c>
      <c r="C88" s="16" t="s">
        <v>215</v>
      </c>
      <c r="D88" s="15">
        <v>100145</v>
      </c>
      <c r="E88" s="17"/>
      <c r="F88" s="17"/>
      <c r="G88" s="17"/>
      <c r="H88" s="17"/>
      <c r="I88" s="29"/>
      <c r="J88" s="29"/>
      <c r="K88" s="29"/>
      <c r="L88" s="17"/>
      <c r="M88" s="17"/>
      <c r="N88" s="29"/>
      <c r="O88" s="29"/>
      <c r="P88" s="29"/>
      <c r="Q88" s="29">
        <v>130</v>
      </c>
      <c r="R88" s="38" t="s">
        <v>68</v>
      </c>
      <c r="S88" s="38" t="s">
        <v>68</v>
      </c>
      <c r="T88" s="17"/>
      <c r="U88" s="17" t="s">
        <v>69</v>
      </c>
      <c r="V88" s="17">
        <v>0</v>
      </c>
      <c r="W88" s="17"/>
      <c r="X88" s="17"/>
      <c r="Y88" s="53"/>
      <c r="Z88" s="16"/>
      <c r="AA88" s="54"/>
      <c r="AB88" s="55">
        <v>0</v>
      </c>
      <c r="AC88" s="55" t="s">
        <v>216</v>
      </c>
      <c r="AD88" s="56"/>
      <c r="AE88" s="56"/>
      <c r="AF88" s="17"/>
      <c r="AG88" s="17"/>
      <c r="AH88" s="17"/>
      <c r="AI88" s="14">
        <f t="shared" si="13"/>
        <v>0</v>
      </c>
      <c r="AJ88" s="29">
        <v>1</v>
      </c>
      <c r="AK88" s="14" t="str">
        <f t="shared" si="14"/>
        <v/>
      </c>
      <c r="AL88" s="56"/>
      <c r="AO88" s="14">
        <f t="shared" si="15"/>
        <v>0</v>
      </c>
      <c r="AP88" s="29"/>
      <c r="AQ88" s="14" t="str">
        <f t="shared" si="16"/>
        <v>[1145,0,0];</v>
      </c>
      <c r="AR88" s="56"/>
      <c r="AU88" s="14">
        <v>0</v>
      </c>
      <c r="AV88" s="29">
        <v>1</v>
      </c>
      <c r="AW88" s="14" t="str">
        <f t="shared" si="17"/>
        <v/>
      </c>
      <c r="AX88" s="56"/>
      <c r="BA88" s="8">
        <v>1</v>
      </c>
    </row>
    <row r="89" spans="2:53">
      <c r="B89" s="14">
        <v>1146</v>
      </c>
      <c r="C89" s="16" t="s">
        <v>217</v>
      </c>
      <c r="D89" s="15">
        <v>100146</v>
      </c>
      <c r="E89" s="17"/>
      <c r="F89" s="17"/>
      <c r="G89" s="17"/>
      <c r="H89" s="17"/>
      <c r="I89" s="29"/>
      <c r="J89" s="29"/>
      <c r="K89" s="29"/>
      <c r="L89" s="17"/>
      <c r="M89" s="17"/>
      <c r="N89" s="29"/>
      <c r="O89" s="29"/>
      <c r="P89" s="29"/>
      <c r="Q89" s="29">
        <v>130</v>
      </c>
      <c r="R89" s="38" t="s">
        <v>68</v>
      </c>
      <c r="S89" s="38" t="s">
        <v>68</v>
      </c>
      <c r="T89" s="17"/>
      <c r="U89" s="17" t="s">
        <v>69</v>
      </c>
      <c r="V89" s="17">
        <v>0</v>
      </c>
      <c r="W89" s="17"/>
      <c r="X89" s="17"/>
      <c r="Y89" s="53"/>
      <c r="Z89" s="16"/>
      <c r="AA89" s="54"/>
      <c r="AB89" s="55">
        <v>0</v>
      </c>
      <c r="AC89" s="55">
        <v>1</v>
      </c>
      <c r="AD89" s="56"/>
      <c r="AE89" s="56"/>
      <c r="AF89" s="17"/>
      <c r="AG89" s="17"/>
      <c r="AH89" s="17"/>
      <c r="AI89" s="14">
        <f t="shared" si="13"/>
        <v>0</v>
      </c>
      <c r="AJ89" s="29">
        <v>1</v>
      </c>
      <c r="AK89" s="14" t="str">
        <f t="shared" si="14"/>
        <v/>
      </c>
      <c r="AL89" s="56"/>
      <c r="AO89" s="14">
        <f t="shared" si="15"/>
        <v>0</v>
      </c>
      <c r="AP89" s="29"/>
      <c r="AQ89" s="14" t="str">
        <f t="shared" si="16"/>
        <v>[1146,0,0];</v>
      </c>
      <c r="AR89" s="56"/>
      <c r="AU89" s="14">
        <v>0</v>
      </c>
      <c r="AV89" s="29">
        <v>1</v>
      </c>
      <c r="AW89" s="14" t="str">
        <f t="shared" si="17"/>
        <v/>
      </c>
      <c r="AX89" s="56"/>
      <c r="BA89" s="8">
        <v>1</v>
      </c>
    </row>
    <row r="90" spans="2:53">
      <c r="B90" s="14">
        <v>1147</v>
      </c>
      <c r="C90" s="16" t="s">
        <v>218</v>
      </c>
      <c r="D90" s="15">
        <v>100147</v>
      </c>
      <c r="E90" s="17"/>
      <c r="F90" s="17"/>
      <c r="G90" s="17"/>
      <c r="H90" s="17"/>
      <c r="I90" s="29"/>
      <c r="J90" s="29"/>
      <c r="K90" s="29"/>
      <c r="L90" s="17"/>
      <c r="M90" s="17"/>
      <c r="N90" s="29"/>
      <c r="O90" s="29"/>
      <c r="P90" s="29"/>
      <c r="Q90" s="29">
        <v>130</v>
      </c>
      <c r="R90" s="38" t="s">
        <v>68</v>
      </c>
      <c r="S90" s="38" t="s">
        <v>68</v>
      </c>
      <c r="T90" s="17"/>
      <c r="U90" s="17" t="s">
        <v>69</v>
      </c>
      <c r="V90" s="17">
        <v>0</v>
      </c>
      <c r="W90" s="17"/>
      <c r="X90" s="17"/>
      <c r="Y90" s="53"/>
      <c r="Z90" s="16"/>
      <c r="AA90" s="54"/>
      <c r="AB90" s="55">
        <v>0</v>
      </c>
      <c r="AC90" s="55">
        <v>1</v>
      </c>
      <c r="AD90" s="56"/>
      <c r="AE90" s="56"/>
      <c r="AF90" s="17"/>
      <c r="AG90" s="17"/>
      <c r="AH90" s="17"/>
      <c r="AI90" s="14">
        <f t="shared" si="13"/>
        <v>0</v>
      </c>
      <c r="AJ90" s="29">
        <v>1</v>
      </c>
      <c r="AK90" s="14" t="str">
        <f t="shared" si="14"/>
        <v/>
      </c>
      <c r="AL90" s="56"/>
      <c r="AO90" s="14">
        <f t="shared" si="15"/>
        <v>0</v>
      </c>
      <c r="AP90" s="29"/>
      <c r="AQ90" s="14" t="str">
        <f t="shared" si="16"/>
        <v>[1147,0,0];</v>
      </c>
      <c r="AR90" s="56"/>
      <c r="AU90" s="14">
        <v>0</v>
      </c>
      <c r="AV90" s="29">
        <v>1</v>
      </c>
      <c r="AW90" s="14" t="str">
        <f t="shared" si="17"/>
        <v/>
      </c>
      <c r="AX90" s="56"/>
      <c r="BA90" s="8">
        <v>1</v>
      </c>
    </row>
    <row r="91" spans="2:53">
      <c r="B91" s="14">
        <v>1148</v>
      </c>
      <c r="C91" s="16" t="s">
        <v>219</v>
      </c>
      <c r="D91" s="15">
        <v>100148</v>
      </c>
      <c r="E91" s="17"/>
      <c r="F91" s="17"/>
      <c r="G91" s="17"/>
      <c r="H91" s="17"/>
      <c r="I91" s="29"/>
      <c r="J91" s="29"/>
      <c r="K91" s="29"/>
      <c r="L91" s="17"/>
      <c r="M91" s="17"/>
      <c r="N91" s="29"/>
      <c r="O91" s="29"/>
      <c r="P91" s="29"/>
      <c r="Q91" s="29">
        <v>130</v>
      </c>
      <c r="R91" s="38" t="s">
        <v>68</v>
      </c>
      <c r="S91" s="38" t="s">
        <v>68</v>
      </c>
      <c r="T91" s="17"/>
      <c r="U91" s="17" t="s">
        <v>69</v>
      </c>
      <c r="V91" s="17">
        <v>0</v>
      </c>
      <c r="W91" s="17"/>
      <c r="X91" s="17"/>
      <c r="Y91" s="53"/>
      <c r="Z91" s="16"/>
      <c r="AA91" s="54"/>
      <c r="AB91" s="55">
        <v>0</v>
      </c>
      <c r="AC91" s="55"/>
      <c r="AD91" s="56"/>
      <c r="AE91" s="56"/>
      <c r="AF91" s="17"/>
      <c r="AG91" s="17"/>
      <c r="AH91" s="17"/>
      <c r="AI91" s="14">
        <f t="shared" si="13"/>
        <v>0</v>
      </c>
      <c r="AJ91" s="29">
        <v>1</v>
      </c>
      <c r="AK91" s="14" t="str">
        <f t="shared" si="14"/>
        <v/>
      </c>
      <c r="AL91" s="56"/>
      <c r="AO91" s="14">
        <f t="shared" si="15"/>
        <v>0</v>
      </c>
      <c r="AP91" s="29">
        <v>1</v>
      </c>
      <c r="AQ91" s="14" t="str">
        <f t="shared" si="16"/>
        <v/>
      </c>
      <c r="AR91" s="56"/>
      <c r="AU91" s="14">
        <v>0</v>
      </c>
      <c r="AV91" s="29">
        <v>1</v>
      </c>
      <c r="AW91" s="14" t="str">
        <f t="shared" si="17"/>
        <v/>
      </c>
      <c r="AX91" s="56"/>
      <c r="BA91" s="8">
        <v>1</v>
      </c>
    </row>
    <row r="92" spans="2:53">
      <c r="B92" s="14">
        <v>1149</v>
      </c>
      <c r="C92" s="16" t="s">
        <v>220</v>
      </c>
      <c r="D92" s="15">
        <v>100149</v>
      </c>
      <c r="E92" s="17"/>
      <c r="F92" s="17"/>
      <c r="G92" s="17"/>
      <c r="H92" s="17"/>
      <c r="I92" s="29"/>
      <c r="J92" s="29"/>
      <c r="K92" s="29"/>
      <c r="L92" s="17"/>
      <c r="M92" s="17"/>
      <c r="N92" s="29"/>
      <c r="O92" s="29"/>
      <c r="P92" s="29"/>
      <c r="Q92" s="29"/>
      <c r="R92" s="38" t="s">
        <v>68</v>
      </c>
      <c r="S92" s="38" t="s">
        <v>68</v>
      </c>
      <c r="T92" s="17"/>
      <c r="U92" s="17" t="s">
        <v>69</v>
      </c>
      <c r="V92" s="17"/>
      <c r="W92" s="17">
        <v>1</v>
      </c>
      <c r="X92" s="17"/>
      <c r="Y92" s="53"/>
      <c r="Z92" s="16"/>
      <c r="AA92" s="54"/>
      <c r="AB92" s="55" t="s">
        <v>169</v>
      </c>
      <c r="AC92" s="55"/>
      <c r="AD92" s="56"/>
      <c r="AE92" s="56"/>
      <c r="AF92" s="17"/>
      <c r="AG92" s="17"/>
      <c r="AH92" s="17"/>
      <c r="AI92" s="14">
        <f t="shared" si="13"/>
        <v>0</v>
      </c>
      <c r="AJ92" s="29">
        <v>0</v>
      </c>
      <c r="AK92" s="14" t="str">
        <f t="shared" si="14"/>
        <v>[1149,0,0];</v>
      </c>
      <c r="AL92" s="56"/>
      <c r="AO92" s="14">
        <f t="shared" si="15"/>
        <v>0</v>
      </c>
      <c r="AP92" s="29"/>
      <c r="AQ92" s="14" t="str">
        <f t="shared" si="16"/>
        <v>[1149,0,0];</v>
      </c>
      <c r="AR92" s="56"/>
      <c r="AU92" s="14">
        <v>0</v>
      </c>
      <c r="AV92" s="29">
        <v>1</v>
      </c>
      <c r="AW92" s="14" t="str">
        <f t="shared" si="17"/>
        <v/>
      </c>
      <c r="AX92" s="56"/>
      <c r="BA92" s="8">
        <v>0</v>
      </c>
    </row>
    <row r="93" spans="2:53">
      <c r="B93" s="14">
        <v>1150</v>
      </c>
      <c r="C93" s="74" t="s">
        <v>221</v>
      </c>
      <c r="D93" s="15">
        <v>100150</v>
      </c>
      <c r="E93" s="75"/>
      <c r="F93" s="75"/>
      <c r="G93" s="75"/>
      <c r="H93" s="75"/>
      <c r="I93" s="78"/>
      <c r="J93" s="78"/>
      <c r="K93" s="78"/>
      <c r="L93" s="75"/>
      <c r="M93" s="75"/>
      <c r="N93" s="78"/>
      <c r="O93" s="78"/>
      <c r="P93" s="78"/>
      <c r="Q93" s="78"/>
      <c r="R93" s="80"/>
      <c r="S93" s="80"/>
      <c r="T93" s="75"/>
      <c r="U93" s="75"/>
      <c r="V93" s="75"/>
      <c r="W93" s="75"/>
      <c r="X93" s="75"/>
      <c r="Y93" s="85"/>
      <c r="Z93" s="74"/>
      <c r="AA93" s="86"/>
      <c r="AB93" s="75" t="s">
        <v>169</v>
      </c>
      <c r="AC93" s="87" t="s">
        <v>176</v>
      </c>
      <c r="AD93" s="87"/>
      <c r="AE93" s="75"/>
      <c r="AF93" s="75"/>
      <c r="AG93" s="75"/>
      <c r="AH93" s="75"/>
      <c r="AI93" s="75">
        <v>1</v>
      </c>
      <c r="AJ93" s="78">
        <v>0</v>
      </c>
      <c r="AK93" s="75" t="str">
        <f t="shared" si="14"/>
        <v>[1150,1,0];</v>
      </c>
      <c r="AL93" s="75"/>
      <c r="AM93" s="88"/>
      <c r="AN93" s="88"/>
      <c r="AO93" s="75">
        <v>1</v>
      </c>
      <c r="AP93" s="78">
        <v>1</v>
      </c>
      <c r="AQ93" s="75" t="str">
        <f t="shared" si="16"/>
        <v/>
      </c>
      <c r="AR93" s="75"/>
      <c r="AS93" s="88"/>
      <c r="AT93" s="88"/>
      <c r="AU93" s="75">
        <v>0</v>
      </c>
      <c r="AV93" s="78">
        <v>1</v>
      </c>
      <c r="AW93" s="75" t="str">
        <f t="shared" si="17"/>
        <v/>
      </c>
      <c r="AX93" s="75"/>
      <c r="BA93" s="8">
        <v>0</v>
      </c>
    </row>
    <row r="94" spans="2:53">
      <c r="B94" s="14">
        <v>1151</v>
      </c>
      <c r="C94" s="16" t="s">
        <v>222</v>
      </c>
      <c r="D94" s="15">
        <v>100151</v>
      </c>
      <c r="E94" s="17"/>
      <c r="F94" s="17"/>
      <c r="G94" s="17"/>
      <c r="H94" s="17"/>
      <c r="I94" s="29"/>
      <c r="J94" s="29"/>
      <c r="K94" s="29"/>
      <c r="L94" s="17"/>
      <c r="M94" s="17"/>
      <c r="N94" s="29"/>
      <c r="O94" s="29"/>
      <c r="P94" s="29"/>
      <c r="Q94" s="29"/>
      <c r="R94" s="38"/>
      <c r="S94" s="38"/>
      <c r="T94" s="17"/>
      <c r="U94" s="17"/>
      <c r="V94" s="17"/>
      <c r="W94" s="17"/>
      <c r="X94" s="17"/>
      <c r="Y94" s="53"/>
      <c r="Z94" s="16"/>
      <c r="AA94" s="54"/>
      <c r="AB94" s="17" t="s">
        <v>169</v>
      </c>
      <c r="AC94" s="55" t="s">
        <v>176</v>
      </c>
      <c r="AD94" s="55"/>
      <c r="AE94" s="17"/>
      <c r="AF94" s="17"/>
      <c r="AG94" s="17"/>
      <c r="AH94" s="17"/>
      <c r="AI94" s="14">
        <v>1</v>
      </c>
      <c r="AJ94" s="29">
        <v>1</v>
      </c>
      <c r="AK94" s="14" t="str">
        <f t="shared" si="14"/>
        <v/>
      </c>
      <c r="AL94" s="17"/>
      <c r="AO94" s="14">
        <v>1</v>
      </c>
      <c r="AP94" s="29"/>
      <c r="AQ94" s="14" t="str">
        <f t="shared" si="16"/>
        <v>[1151,1,0];</v>
      </c>
      <c r="AR94" s="17"/>
      <c r="AU94" s="14">
        <v>0</v>
      </c>
      <c r="AV94" s="29">
        <v>1</v>
      </c>
      <c r="AW94" s="14" t="str">
        <f t="shared" si="17"/>
        <v/>
      </c>
      <c r="AX94" s="17"/>
      <c r="BA94" s="8">
        <v>0</v>
      </c>
    </row>
    <row r="95" spans="2:50">
      <c r="B95" s="14">
        <v>1152</v>
      </c>
      <c r="C95" s="24" t="s">
        <v>223</v>
      </c>
      <c r="D95" s="15">
        <v>100152</v>
      </c>
      <c r="E95" s="17">
        <v>7</v>
      </c>
      <c r="F95" s="17"/>
      <c r="G95" s="17">
        <v>1</v>
      </c>
      <c r="H95" s="17">
        <v>1</v>
      </c>
      <c r="I95" s="29"/>
      <c r="J95" s="29"/>
      <c r="K95" s="29"/>
      <c r="L95" s="17"/>
      <c r="M95" s="17">
        <v>1</v>
      </c>
      <c r="N95" s="29"/>
      <c r="O95" s="29"/>
      <c r="P95" s="29"/>
      <c r="Q95" s="29"/>
      <c r="R95" s="38" t="s">
        <v>68</v>
      </c>
      <c r="S95" s="38" t="s">
        <v>68</v>
      </c>
      <c r="T95" s="17"/>
      <c r="U95" s="17" t="s">
        <v>69</v>
      </c>
      <c r="V95" s="17"/>
      <c r="W95" s="17"/>
      <c r="X95" s="17"/>
      <c r="Y95" s="53"/>
      <c r="Z95" s="16"/>
      <c r="AA95" s="54"/>
      <c r="AB95" s="17">
        <v>0</v>
      </c>
      <c r="AC95" s="55" t="s">
        <v>224</v>
      </c>
      <c r="AD95" s="55"/>
      <c r="AE95" s="17" t="s">
        <v>225</v>
      </c>
      <c r="AF95" s="17"/>
      <c r="AG95" s="17"/>
      <c r="AH95" s="17"/>
      <c r="AI95" s="14">
        <f>IF(AA95="",0,AA95)</f>
        <v>0</v>
      </c>
      <c r="AJ95" s="29"/>
      <c r="AK95" s="14" t="str">
        <f t="shared" si="14"/>
        <v>[1152,0,0];</v>
      </c>
      <c r="AL95" s="17"/>
      <c r="AO95" s="14">
        <f>IF(AA95="",0,AA95)</f>
        <v>0</v>
      </c>
      <c r="AP95" s="29"/>
      <c r="AQ95" s="14" t="str">
        <f t="shared" si="16"/>
        <v>[1152,0,0];</v>
      </c>
      <c r="AR95" s="17"/>
      <c r="AU95" s="14">
        <v>0</v>
      </c>
      <c r="AV95" s="29"/>
      <c r="AW95" s="14" t="str">
        <f t="shared" si="17"/>
        <v>[1152,0,0];</v>
      </c>
      <c r="AX95" s="17"/>
    </row>
    <row r="96" spans="2:50">
      <c r="B96" s="14">
        <v>1153</v>
      </c>
      <c r="C96" s="24" t="s">
        <v>226</v>
      </c>
      <c r="D96" s="15">
        <v>100153</v>
      </c>
      <c r="E96" s="17">
        <v>7</v>
      </c>
      <c r="F96" s="17"/>
      <c r="G96" s="17">
        <v>1</v>
      </c>
      <c r="H96" s="17">
        <v>1</v>
      </c>
      <c r="I96" s="29"/>
      <c r="J96" s="29"/>
      <c r="K96" s="29"/>
      <c r="L96" s="17"/>
      <c r="M96" s="17">
        <v>1</v>
      </c>
      <c r="N96" s="29"/>
      <c r="O96" s="29"/>
      <c r="P96" s="29"/>
      <c r="Q96" s="29"/>
      <c r="R96" s="38" t="s">
        <v>68</v>
      </c>
      <c r="S96" s="38" t="s">
        <v>68</v>
      </c>
      <c r="T96" s="17"/>
      <c r="U96" s="17" t="s">
        <v>69</v>
      </c>
      <c r="V96" s="17"/>
      <c r="W96" s="17"/>
      <c r="X96" s="17"/>
      <c r="Y96" s="53"/>
      <c r="Z96" s="16"/>
      <c r="AA96" s="54"/>
      <c r="AB96" s="17">
        <v>0</v>
      </c>
      <c r="AC96" s="55" t="s">
        <v>224</v>
      </c>
      <c r="AD96" s="55"/>
      <c r="AE96" s="17" t="s">
        <v>225</v>
      </c>
      <c r="AF96" s="17"/>
      <c r="AG96" s="17"/>
      <c r="AH96" s="17"/>
      <c r="AI96" s="14">
        <f>IF(AA96="",0,AA96)</f>
        <v>0</v>
      </c>
      <c r="AJ96" s="29"/>
      <c r="AK96" s="14" t="str">
        <f t="shared" si="14"/>
        <v>[1153,0,0];</v>
      </c>
      <c r="AL96" s="17"/>
      <c r="AO96" s="14">
        <f>IF(AA96="",0,AA96)</f>
        <v>0</v>
      </c>
      <c r="AP96" s="29"/>
      <c r="AQ96" s="14" t="str">
        <f t="shared" si="16"/>
        <v>[1153,0,0];</v>
      </c>
      <c r="AR96" s="17"/>
      <c r="AU96" s="14">
        <v>0</v>
      </c>
      <c r="AV96" s="29"/>
      <c r="AW96" s="14" t="str">
        <f t="shared" si="17"/>
        <v>[1153,0,0];</v>
      </c>
      <c r="AX96" s="17"/>
    </row>
    <row r="97" spans="2:50">
      <c r="B97" s="14">
        <v>1154</v>
      </c>
      <c r="C97" s="24" t="s">
        <v>227</v>
      </c>
      <c r="D97" s="15">
        <v>100154</v>
      </c>
      <c r="E97" s="17">
        <v>7</v>
      </c>
      <c r="F97" s="17"/>
      <c r="G97" s="17">
        <v>1</v>
      </c>
      <c r="H97" s="17">
        <v>1</v>
      </c>
      <c r="I97" s="29"/>
      <c r="J97" s="29"/>
      <c r="K97" s="29"/>
      <c r="L97" s="17"/>
      <c r="M97" s="17">
        <v>1</v>
      </c>
      <c r="N97" s="29"/>
      <c r="O97" s="29"/>
      <c r="P97" s="29"/>
      <c r="Q97" s="29"/>
      <c r="R97" s="38" t="s">
        <v>68</v>
      </c>
      <c r="S97" s="38" t="s">
        <v>68</v>
      </c>
      <c r="T97" s="17"/>
      <c r="U97" s="17" t="s">
        <v>69</v>
      </c>
      <c r="V97" s="17"/>
      <c r="W97" s="17"/>
      <c r="X97" s="17"/>
      <c r="Y97" s="53"/>
      <c r="Z97" s="16"/>
      <c r="AA97" s="54"/>
      <c r="AB97" s="17">
        <v>0</v>
      </c>
      <c r="AC97" s="55" t="s">
        <v>224</v>
      </c>
      <c r="AD97" s="55"/>
      <c r="AE97" s="17" t="s">
        <v>225</v>
      </c>
      <c r="AF97" s="17"/>
      <c r="AG97" s="17"/>
      <c r="AH97" s="17"/>
      <c r="AI97" s="14">
        <f>IF(AA97="",0,AA97)</f>
        <v>0</v>
      </c>
      <c r="AJ97" s="29"/>
      <c r="AK97" s="14" t="str">
        <f t="shared" si="14"/>
        <v>[1154,0,0];</v>
      </c>
      <c r="AL97" s="17"/>
      <c r="AO97" s="14">
        <f>IF(AA97="",0,AA97)</f>
        <v>0</v>
      </c>
      <c r="AP97" s="29"/>
      <c r="AQ97" s="14" t="str">
        <f t="shared" si="16"/>
        <v>[1154,0,0];</v>
      </c>
      <c r="AR97" s="17"/>
      <c r="AU97" s="14">
        <v>0</v>
      </c>
      <c r="AV97" s="29"/>
      <c r="AW97" s="14" t="str">
        <f t="shared" si="17"/>
        <v>[1154,0,0];</v>
      </c>
      <c r="AX97" s="17"/>
    </row>
    <row r="98" spans="2:50">
      <c r="B98" s="14">
        <v>1155</v>
      </c>
      <c r="C98" s="24" t="s">
        <v>228</v>
      </c>
      <c r="D98" s="15">
        <v>100155</v>
      </c>
      <c r="E98" s="17">
        <v>7</v>
      </c>
      <c r="F98" s="17"/>
      <c r="G98" s="17">
        <v>1</v>
      </c>
      <c r="H98" s="17">
        <v>1</v>
      </c>
      <c r="I98" s="29"/>
      <c r="J98" s="29"/>
      <c r="K98" s="29"/>
      <c r="L98" s="17"/>
      <c r="M98" s="17">
        <v>1</v>
      </c>
      <c r="N98" s="29"/>
      <c r="O98" s="29"/>
      <c r="P98" s="29"/>
      <c r="Q98" s="29"/>
      <c r="R98" s="38" t="s">
        <v>68</v>
      </c>
      <c r="S98" s="38" t="s">
        <v>68</v>
      </c>
      <c r="T98" s="17"/>
      <c r="U98" s="17" t="s">
        <v>69</v>
      </c>
      <c r="V98" s="17"/>
      <c r="W98" s="17"/>
      <c r="X98" s="17"/>
      <c r="Y98" s="53"/>
      <c r="Z98" s="16"/>
      <c r="AA98" s="54"/>
      <c r="AB98" s="17">
        <v>0</v>
      </c>
      <c r="AC98" s="55" t="s">
        <v>224</v>
      </c>
      <c r="AD98" s="55"/>
      <c r="AE98" s="17" t="s">
        <v>225</v>
      </c>
      <c r="AF98" s="17"/>
      <c r="AG98" s="17"/>
      <c r="AH98" s="17"/>
      <c r="AI98" s="14">
        <f>IF(AA98="",0,AA98)</f>
        <v>0</v>
      </c>
      <c r="AJ98" s="29"/>
      <c r="AK98" s="14" t="e">
        <f>IF(AJ98=1,"",IF(#REF!="","["&amp;B98&amp;","&amp;AI98&amp;",0]","["&amp;B98&amp;","&amp;AI98&amp;",0];"))</f>
        <v>#REF!</v>
      </c>
      <c r="AL98" s="17"/>
      <c r="AO98" s="14">
        <f>IF(AA98="",0,AA98)</f>
        <v>0</v>
      </c>
      <c r="AP98" s="29"/>
      <c r="AQ98" s="14" t="e">
        <f>IF(AP98=1,"",IF(#REF!="","["&amp;B98&amp;","&amp;AO98&amp;",0]","["&amp;B98&amp;","&amp;AO98&amp;",0];"))</f>
        <v>#REF!</v>
      </c>
      <c r="AR98" s="17"/>
      <c r="AU98" s="14">
        <v>0</v>
      </c>
      <c r="AV98" s="29"/>
      <c r="AW98" s="14" t="e">
        <f>IF(AV98=1,"",IF(#REF!="","["&amp;B98&amp;","&amp;AU98&amp;",0]","["&amp;B98&amp;","&amp;AU98&amp;",0];"))</f>
        <v>#REF!</v>
      </c>
      <c r="AX98" s="17"/>
    </row>
    <row r="99" s="1" customFormat="1" spans="1:53">
      <c r="A99" s="18" t="s">
        <v>22</v>
      </c>
      <c r="B99" s="14">
        <v>1172</v>
      </c>
      <c r="C99" s="76" t="s">
        <v>229</v>
      </c>
      <c r="D99" s="15">
        <v>100172</v>
      </c>
      <c r="E99" s="17">
        <v>7</v>
      </c>
      <c r="F99" s="17"/>
      <c r="G99" s="17"/>
      <c r="H99" s="17"/>
      <c r="I99" s="29"/>
      <c r="J99" s="29"/>
      <c r="K99" s="29"/>
      <c r="L99" s="17"/>
      <c r="M99" s="17">
        <v>1</v>
      </c>
      <c r="N99" s="29"/>
      <c r="O99" s="29"/>
      <c r="P99" s="29"/>
      <c r="Q99" s="29"/>
      <c r="R99" s="38" t="s">
        <v>68</v>
      </c>
      <c r="S99" s="38" t="s">
        <v>68</v>
      </c>
      <c r="T99" s="17"/>
      <c r="U99" s="38" t="s">
        <v>68</v>
      </c>
      <c r="V99" s="17"/>
      <c r="W99" s="17"/>
      <c r="X99" s="17"/>
      <c r="Y99" s="53"/>
      <c r="Z99" s="16"/>
      <c r="AA99" s="54"/>
      <c r="AB99" s="17">
        <v>0</v>
      </c>
      <c r="AC99" s="17"/>
      <c r="AD99" s="17"/>
      <c r="AE99" s="17"/>
      <c r="AF99" s="17"/>
      <c r="AG99" s="17"/>
      <c r="AH99" s="17"/>
      <c r="AI99" s="14">
        <f>IF(AA99="",0,AA99)</f>
        <v>0</v>
      </c>
      <c r="AJ99" s="29"/>
      <c r="AK99" s="14" t="str">
        <f t="shared" ref="AK99:AK110" si="18">IF(AJ99=1,"",IF(B100="","["&amp;B99&amp;","&amp;AI99&amp;",0]","["&amp;B99&amp;","&amp;AI99&amp;",0];"))</f>
        <v>[1172,0,0];</v>
      </c>
      <c r="AL99" s="17"/>
      <c r="AM99" s="8"/>
      <c r="AN99" s="8"/>
      <c r="AO99" s="14">
        <f>IF(AA99="",0,AA99)</f>
        <v>0</v>
      </c>
      <c r="AP99" s="29"/>
      <c r="AQ99" s="14" t="str">
        <f t="shared" ref="AQ99:AQ110" si="19">IF(AP99=1,"",IF(B100="","["&amp;B99&amp;","&amp;AO99&amp;",0]","["&amp;B99&amp;","&amp;AO99&amp;",0];"))</f>
        <v>[1172,0,0];</v>
      </c>
      <c r="AR99" s="17"/>
      <c r="AS99" s="8"/>
      <c r="AT99" s="8"/>
      <c r="AU99" s="14">
        <v>0</v>
      </c>
      <c r="AV99" s="29"/>
      <c r="AW99" s="14" t="str">
        <f t="shared" ref="AW99:AW110" si="20">IF(AV99=1,"",IF(B100="","["&amp;B99&amp;","&amp;AU99&amp;",0]","["&amp;B99&amp;","&amp;AU99&amp;",0];"))</f>
        <v>[1172,0,0];</v>
      </c>
      <c r="AX99" s="17"/>
      <c r="BA99" s="1">
        <v>1</v>
      </c>
    </row>
    <row r="100" ht="27" spans="2:53">
      <c r="B100" s="14">
        <v>1173</v>
      </c>
      <c r="C100" s="16" t="s">
        <v>230</v>
      </c>
      <c r="D100" s="15">
        <v>100173</v>
      </c>
      <c r="E100" s="17">
        <v>7</v>
      </c>
      <c r="F100" s="17"/>
      <c r="G100" s="17"/>
      <c r="H100" s="17"/>
      <c r="I100" s="29"/>
      <c r="J100" s="29"/>
      <c r="K100" s="29"/>
      <c r="L100" s="17"/>
      <c r="M100" s="17">
        <v>1</v>
      </c>
      <c r="N100" s="29"/>
      <c r="O100" s="29"/>
      <c r="P100" s="29"/>
      <c r="Q100" s="29">
        <v>130</v>
      </c>
      <c r="R100" s="38" t="s">
        <v>68</v>
      </c>
      <c r="S100" s="38" t="s">
        <v>68</v>
      </c>
      <c r="T100" s="17"/>
      <c r="U100" s="17" t="s">
        <v>162</v>
      </c>
      <c r="V100" s="17">
        <v>0</v>
      </c>
      <c r="W100" s="17"/>
      <c r="X100" s="17"/>
      <c r="Y100" s="53"/>
      <c r="Z100" s="16"/>
      <c r="AA100" s="54">
        <v>2</v>
      </c>
      <c r="AB100" s="17" t="s">
        <v>231</v>
      </c>
      <c r="AC100" s="55" t="s">
        <v>232</v>
      </c>
      <c r="AD100" s="55" t="s">
        <v>233</v>
      </c>
      <c r="AE100" s="17"/>
      <c r="AF100" s="17"/>
      <c r="AG100" s="17"/>
      <c r="AH100" s="17"/>
      <c r="AI100" s="14">
        <f t="shared" ref="AI100:AI155" si="21">IF(AA100="",0,AA100)</f>
        <v>2</v>
      </c>
      <c r="AJ100" s="29">
        <v>1</v>
      </c>
      <c r="AK100" s="14" t="str">
        <f t="shared" si="18"/>
        <v/>
      </c>
      <c r="AL100" s="17"/>
      <c r="AO100" s="14">
        <f t="shared" ref="AO100:AO155" si="22">IF(AA100="",0,AA100)</f>
        <v>2</v>
      </c>
      <c r="AP100" s="29"/>
      <c r="AQ100" s="14" t="str">
        <f t="shared" si="19"/>
        <v>[1173,2,0];</v>
      </c>
      <c r="AR100" s="17"/>
      <c r="AU100" s="14">
        <v>2</v>
      </c>
      <c r="AV100" s="29">
        <v>1</v>
      </c>
      <c r="AW100" s="14" t="str">
        <f t="shared" si="20"/>
        <v/>
      </c>
      <c r="AX100" s="17"/>
      <c r="BA100" s="8">
        <v>1</v>
      </c>
    </row>
    <row r="101" s="1" customFormat="1" ht="27" spans="1:53">
      <c r="A101" s="18" t="s">
        <v>22</v>
      </c>
      <c r="B101" s="14">
        <v>1174</v>
      </c>
      <c r="C101" s="16" t="s">
        <v>234</v>
      </c>
      <c r="D101" s="15">
        <v>100174</v>
      </c>
      <c r="E101" s="17">
        <v>7</v>
      </c>
      <c r="F101" s="17"/>
      <c r="G101" s="17"/>
      <c r="H101" s="17"/>
      <c r="I101" s="29"/>
      <c r="J101" s="29" t="s">
        <v>235</v>
      </c>
      <c r="K101" s="29" t="s">
        <v>236</v>
      </c>
      <c r="L101" s="17"/>
      <c r="M101" s="17">
        <v>1</v>
      </c>
      <c r="N101" s="29"/>
      <c r="O101" s="29"/>
      <c r="P101" s="29"/>
      <c r="Q101" s="29">
        <v>130</v>
      </c>
      <c r="R101" s="38" t="s">
        <v>68</v>
      </c>
      <c r="S101" s="38" t="s">
        <v>68</v>
      </c>
      <c r="T101" s="17"/>
      <c r="U101" s="17" t="s">
        <v>162</v>
      </c>
      <c r="V101" s="17">
        <v>0</v>
      </c>
      <c r="W101" s="17"/>
      <c r="X101" s="17"/>
      <c r="Y101" s="53"/>
      <c r="Z101" s="16"/>
      <c r="AA101" s="54">
        <v>2</v>
      </c>
      <c r="AB101" s="17" t="s">
        <v>231</v>
      </c>
      <c r="AC101" s="55" t="s">
        <v>232</v>
      </c>
      <c r="AD101" s="55" t="s">
        <v>233</v>
      </c>
      <c r="AE101" s="17"/>
      <c r="AF101" s="17"/>
      <c r="AG101" s="17"/>
      <c r="AH101" s="17"/>
      <c r="AI101" s="14">
        <f t="shared" si="21"/>
        <v>2</v>
      </c>
      <c r="AJ101" s="29">
        <v>1</v>
      </c>
      <c r="AK101" s="14" t="str">
        <f t="shared" si="18"/>
        <v/>
      </c>
      <c r="AL101" s="17"/>
      <c r="AM101" s="8"/>
      <c r="AN101" s="8"/>
      <c r="AO101" s="14">
        <f t="shared" si="22"/>
        <v>2</v>
      </c>
      <c r="AP101" s="29"/>
      <c r="AQ101" s="14" t="str">
        <f t="shared" si="19"/>
        <v>[1174,2,0];</v>
      </c>
      <c r="AR101" s="17"/>
      <c r="AS101" s="8"/>
      <c r="AT101" s="8"/>
      <c r="AU101" s="14">
        <v>2</v>
      </c>
      <c r="AV101" s="29">
        <v>1</v>
      </c>
      <c r="AW101" s="14" t="str">
        <f t="shared" si="20"/>
        <v/>
      </c>
      <c r="AX101" s="17"/>
      <c r="BA101" s="1">
        <v>1</v>
      </c>
    </row>
    <row r="102" ht="27" spans="2:53">
      <c r="B102" s="14">
        <v>1175</v>
      </c>
      <c r="C102" s="16" t="s">
        <v>237</v>
      </c>
      <c r="D102" s="15">
        <v>100175</v>
      </c>
      <c r="E102" s="17">
        <v>7</v>
      </c>
      <c r="F102" s="17"/>
      <c r="G102" s="17"/>
      <c r="H102" s="17"/>
      <c r="I102" s="29"/>
      <c r="J102" s="29" t="s">
        <v>235</v>
      </c>
      <c r="K102" s="29" t="s">
        <v>236</v>
      </c>
      <c r="L102" s="17"/>
      <c r="M102" s="17">
        <v>1</v>
      </c>
      <c r="N102" s="29"/>
      <c r="O102" s="29"/>
      <c r="P102" s="29"/>
      <c r="Q102" s="29">
        <v>130</v>
      </c>
      <c r="R102" s="38" t="s">
        <v>68</v>
      </c>
      <c r="S102" s="38" t="s">
        <v>68</v>
      </c>
      <c r="T102" s="17"/>
      <c r="U102" s="17" t="s">
        <v>162</v>
      </c>
      <c r="V102" s="17">
        <v>0</v>
      </c>
      <c r="W102" s="17"/>
      <c r="X102" s="17"/>
      <c r="Y102" s="53"/>
      <c r="Z102" s="16"/>
      <c r="AA102" s="54"/>
      <c r="AB102" s="17" t="s">
        <v>231</v>
      </c>
      <c r="AC102" s="55" t="s">
        <v>232</v>
      </c>
      <c r="AD102" s="55" t="s">
        <v>233</v>
      </c>
      <c r="AE102" s="17"/>
      <c r="AF102" s="17"/>
      <c r="AG102" s="17"/>
      <c r="AH102" s="17"/>
      <c r="AI102" s="14">
        <f t="shared" si="21"/>
        <v>0</v>
      </c>
      <c r="AJ102" s="29">
        <v>1</v>
      </c>
      <c r="AK102" s="14" t="str">
        <f t="shared" si="18"/>
        <v/>
      </c>
      <c r="AL102" s="17"/>
      <c r="AO102" s="14">
        <f t="shared" si="22"/>
        <v>0</v>
      </c>
      <c r="AP102" s="29"/>
      <c r="AQ102" s="14" t="str">
        <f t="shared" si="19"/>
        <v>[1175,0,0];</v>
      </c>
      <c r="AR102" s="17"/>
      <c r="AU102" s="14">
        <v>2</v>
      </c>
      <c r="AV102" s="29">
        <v>1</v>
      </c>
      <c r="AW102" s="14" t="str">
        <f t="shared" si="20"/>
        <v/>
      </c>
      <c r="AX102" s="17"/>
      <c r="BA102" s="8">
        <v>1</v>
      </c>
    </row>
    <row r="103" s="1" customFormat="1" ht="27" spans="1:53">
      <c r="A103" s="18" t="s">
        <v>22</v>
      </c>
      <c r="B103" s="14">
        <v>1176</v>
      </c>
      <c r="C103" s="16" t="s">
        <v>238</v>
      </c>
      <c r="D103" s="15">
        <v>100176</v>
      </c>
      <c r="E103" s="17">
        <v>7</v>
      </c>
      <c r="F103" s="17"/>
      <c r="G103" s="17"/>
      <c r="H103" s="17"/>
      <c r="I103" s="29"/>
      <c r="J103" s="29" t="s">
        <v>235</v>
      </c>
      <c r="K103" s="29" t="s">
        <v>236</v>
      </c>
      <c r="L103" s="17"/>
      <c r="M103" s="17">
        <v>1</v>
      </c>
      <c r="N103" s="29"/>
      <c r="O103" s="29"/>
      <c r="P103" s="29"/>
      <c r="Q103" s="29">
        <v>130</v>
      </c>
      <c r="R103" s="38" t="s">
        <v>68</v>
      </c>
      <c r="S103" s="38" t="s">
        <v>68</v>
      </c>
      <c r="T103" s="17"/>
      <c r="U103" s="17" t="s">
        <v>162</v>
      </c>
      <c r="V103" s="17">
        <v>0</v>
      </c>
      <c r="W103" s="17"/>
      <c r="X103" s="17"/>
      <c r="Y103" s="53"/>
      <c r="Z103" s="16"/>
      <c r="AA103" s="54"/>
      <c r="AB103" s="17" t="s">
        <v>231</v>
      </c>
      <c r="AC103" s="55" t="s">
        <v>232</v>
      </c>
      <c r="AD103" s="55" t="s">
        <v>233</v>
      </c>
      <c r="AE103" s="17"/>
      <c r="AF103" s="17"/>
      <c r="AG103" s="17"/>
      <c r="AH103" s="17"/>
      <c r="AI103" s="14">
        <f t="shared" si="21"/>
        <v>0</v>
      </c>
      <c r="AJ103" s="29">
        <v>1</v>
      </c>
      <c r="AK103" s="14" t="str">
        <f t="shared" si="18"/>
        <v/>
      </c>
      <c r="AL103" s="17"/>
      <c r="AM103" s="8"/>
      <c r="AN103" s="8"/>
      <c r="AO103" s="14">
        <f t="shared" si="22"/>
        <v>0</v>
      </c>
      <c r="AP103" s="29"/>
      <c r="AQ103" s="14" t="str">
        <f t="shared" si="19"/>
        <v>[1176,0,0];</v>
      </c>
      <c r="AR103" s="17"/>
      <c r="AS103" s="8"/>
      <c r="AT103" s="8"/>
      <c r="AU103" s="14">
        <v>2</v>
      </c>
      <c r="AV103" s="29">
        <v>1</v>
      </c>
      <c r="AW103" s="14" t="str">
        <f t="shared" si="20"/>
        <v/>
      </c>
      <c r="AX103" s="17"/>
      <c r="BA103" s="1">
        <v>1</v>
      </c>
    </row>
    <row r="104" ht="27" spans="2:53">
      <c r="B104" s="14">
        <v>1177</v>
      </c>
      <c r="C104" s="16" t="s">
        <v>239</v>
      </c>
      <c r="D104" s="15">
        <v>100177</v>
      </c>
      <c r="E104" s="17">
        <v>7</v>
      </c>
      <c r="F104" s="17"/>
      <c r="G104" s="17"/>
      <c r="H104" s="17"/>
      <c r="I104" s="29"/>
      <c r="J104" s="29" t="s">
        <v>235</v>
      </c>
      <c r="K104" s="29" t="s">
        <v>236</v>
      </c>
      <c r="L104" s="17"/>
      <c r="M104" s="17">
        <v>1</v>
      </c>
      <c r="N104" s="29"/>
      <c r="O104" s="29"/>
      <c r="P104" s="29"/>
      <c r="Q104" s="29">
        <v>130</v>
      </c>
      <c r="R104" s="38" t="s">
        <v>68</v>
      </c>
      <c r="S104" s="38" t="s">
        <v>68</v>
      </c>
      <c r="T104" s="17"/>
      <c r="U104" s="17" t="s">
        <v>162</v>
      </c>
      <c r="V104" s="17">
        <v>0</v>
      </c>
      <c r="W104" s="17"/>
      <c r="X104" s="17"/>
      <c r="Y104" s="53"/>
      <c r="Z104" s="16"/>
      <c r="AA104" s="54">
        <v>2</v>
      </c>
      <c r="AB104" s="17" t="s">
        <v>231</v>
      </c>
      <c r="AC104" s="55" t="s">
        <v>232</v>
      </c>
      <c r="AD104" s="55" t="s">
        <v>233</v>
      </c>
      <c r="AE104" s="17"/>
      <c r="AF104" s="17"/>
      <c r="AG104" s="17"/>
      <c r="AH104" s="17"/>
      <c r="AI104" s="14">
        <f t="shared" si="21"/>
        <v>2</v>
      </c>
      <c r="AJ104" s="29">
        <v>1</v>
      </c>
      <c r="AK104" s="14" t="str">
        <f t="shared" si="18"/>
        <v/>
      </c>
      <c r="AL104" s="17"/>
      <c r="AO104" s="14">
        <f t="shared" si="22"/>
        <v>2</v>
      </c>
      <c r="AP104" s="29"/>
      <c r="AQ104" s="14" t="str">
        <f t="shared" si="19"/>
        <v>[1177,2,0];</v>
      </c>
      <c r="AR104" s="17"/>
      <c r="AU104" s="14">
        <v>2</v>
      </c>
      <c r="AV104" s="29">
        <v>1</v>
      </c>
      <c r="AW104" s="14" t="str">
        <f t="shared" si="20"/>
        <v/>
      </c>
      <c r="AX104" s="17"/>
      <c r="BA104" s="8">
        <v>1</v>
      </c>
    </row>
    <row r="105" ht="27" spans="2:53">
      <c r="B105" s="14">
        <v>1178</v>
      </c>
      <c r="C105" s="16" t="s">
        <v>240</v>
      </c>
      <c r="D105" s="15">
        <v>100178</v>
      </c>
      <c r="E105" s="17">
        <v>7</v>
      </c>
      <c r="F105" s="17"/>
      <c r="G105" s="17"/>
      <c r="H105" s="17"/>
      <c r="I105" s="29"/>
      <c r="J105" s="29" t="s">
        <v>235</v>
      </c>
      <c r="K105" s="29" t="s">
        <v>236</v>
      </c>
      <c r="L105" s="17"/>
      <c r="M105" s="17">
        <v>1</v>
      </c>
      <c r="N105" s="29"/>
      <c r="O105" s="29"/>
      <c r="P105" s="29"/>
      <c r="Q105" s="29">
        <v>130</v>
      </c>
      <c r="R105" s="38" t="s">
        <v>68</v>
      </c>
      <c r="S105" s="38" t="s">
        <v>68</v>
      </c>
      <c r="T105" s="17"/>
      <c r="U105" s="17" t="s">
        <v>162</v>
      </c>
      <c r="V105" s="17">
        <v>0</v>
      </c>
      <c r="W105" s="17"/>
      <c r="X105" s="17"/>
      <c r="Y105" s="53"/>
      <c r="Z105" s="16"/>
      <c r="AA105" s="54"/>
      <c r="AB105" s="17" t="s">
        <v>231</v>
      </c>
      <c r="AC105" s="55" t="s">
        <v>232</v>
      </c>
      <c r="AD105" s="55" t="s">
        <v>233</v>
      </c>
      <c r="AE105" s="17"/>
      <c r="AF105" s="17"/>
      <c r="AG105" s="17"/>
      <c r="AH105" s="17"/>
      <c r="AI105" s="14">
        <f t="shared" si="21"/>
        <v>0</v>
      </c>
      <c r="AJ105" s="29">
        <v>1</v>
      </c>
      <c r="AK105" s="14" t="str">
        <f t="shared" si="18"/>
        <v/>
      </c>
      <c r="AL105" s="17"/>
      <c r="AO105" s="14">
        <f t="shared" si="22"/>
        <v>0</v>
      </c>
      <c r="AP105" s="29"/>
      <c r="AQ105" s="14" t="str">
        <f t="shared" si="19"/>
        <v>[1178,0,0];</v>
      </c>
      <c r="AR105" s="17"/>
      <c r="AU105" s="14">
        <v>2</v>
      </c>
      <c r="AV105" s="29">
        <v>1</v>
      </c>
      <c r="AW105" s="14" t="str">
        <f t="shared" si="20"/>
        <v/>
      </c>
      <c r="AX105" s="17"/>
      <c r="BA105" s="8">
        <v>1</v>
      </c>
    </row>
    <row r="106" ht="27" spans="2:53">
      <c r="B106" s="14">
        <v>1179</v>
      </c>
      <c r="C106" s="16" t="s">
        <v>241</v>
      </c>
      <c r="D106" s="15">
        <v>100179</v>
      </c>
      <c r="E106" s="17">
        <v>7</v>
      </c>
      <c r="F106" s="17"/>
      <c r="G106" s="17"/>
      <c r="H106" s="17"/>
      <c r="I106" s="29"/>
      <c r="J106" s="29" t="s">
        <v>235</v>
      </c>
      <c r="K106" s="29" t="s">
        <v>236</v>
      </c>
      <c r="L106" s="17"/>
      <c r="M106" s="17">
        <v>1</v>
      </c>
      <c r="N106" s="29"/>
      <c r="O106" s="29"/>
      <c r="P106" s="29"/>
      <c r="Q106" s="29">
        <v>130</v>
      </c>
      <c r="R106" s="38" t="s">
        <v>68</v>
      </c>
      <c r="S106" s="38" t="s">
        <v>68</v>
      </c>
      <c r="T106" s="17"/>
      <c r="U106" s="17" t="s">
        <v>162</v>
      </c>
      <c r="V106" s="17">
        <v>0</v>
      </c>
      <c r="W106" s="17"/>
      <c r="X106" s="17"/>
      <c r="Y106" s="53"/>
      <c r="Z106" s="16"/>
      <c r="AA106" s="54">
        <v>2</v>
      </c>
      <c r="AB106" s="17" t="s">
        <v>231</v>
      </c>
      <c r="AC106" s="55" t="s">
        <v>232</v>
      </c>
      <c r="AD106" s="55" t="s">
        <v>233</v>
      </c>
      <c r="AE106" s="17"/>
      <c r="AF106" s="17"/>
      <c r="AG106" s="17"/>
      <c r="AH106" s="17"/>
      <c r="AI106" s="14">
        <f t="shared" si="21"/>
        <v>2</v>
      </c>
      <c r="AJ106" s="29">
        <v>1</v>
      </c>
      <c r="AK106" s="14" t="str">
        <f t="shared" si="18"/>
        <v/>
      </c>
      <c r="AL106" s="17"/>
      <c r="AO106" s="14">
        <f t="shared" si="22"/>
        <v>2</v>
      </c>
      <c r="AP106" s="29"/>
      <c r="AQ106" s="14" t="str">
        <f t="shared" si="19"/>
        <v>[1179,2,0];</v>
      </c>
      <c r="AR106" s="17"/>
      <c r="AU106" s="14">
        <v>2</v>
      </c>
      <c r="AV106" s="29">
        <v>1</v>
      </c>
      <c r="AW106" s="14" t="str">
        <f t="shared" si="20"/>
        <v/>
      </c>
      <c r="AX106" s="17"/>
      <c r="BA106" s="8">
        <v>1</v>
      </c>
    </row>
    <row r="107" ht="27" spans="2:53">
      <c r="B107" s="14">
        <v>1180</v>
      </c>
      <c r="C107" s="16" t="s">
        <v>242</v>
      </c>
      <c r="D107" s="15">
        <v>100180</v>
      </c>
      <c r="E107" s="17">
        <v>7</v>
      </c>
      <c r="F107" s="17"/>
      <c r="G107" s="17"/>
      <c r="H107" s="17"/>
      <c r="I107" s="29"/>
      <c r="J107" s="29" t="s">
        <v>235</v>
      </c>
      <c r="K107" s="29" t="s">
        <v>236</v>
      </c>
      <c r="L107" s="17"/>
      <c r="M107" s="17">
        <v>1</v>
      </c>
      <c r="N107" s="29"/>
      <c r="O107" s="29"/>
      <c r="P107" s="29"/>
      <c r="Q107" s="29">
        <v>130</v>
      </c>
      <c r="R107" s="38" t="s">
        <v>68</v>
      </c>
      <c r="S107" s="38" t="s">
        <v>68</v>
      </c>
      <c r="T107" s="17"/>
      <c r="U107" s="17" t="s">
        <v>162</v>
      </c>
      <c r="V107" s="17">
        <v>0</v>
      </c>
      <c r="W107" s="17"/>
      <c r="X107" s="17"/>
      <c r="Y107" s="53"/>
      <c r="Z107" s="16"/>
      <c r="AA107" s="54">
        <v>2</v>
      </c>
      <c r="AB107" s="17" t="s">
        <v>231</v>
      </c>
      <c r="AC107" s="55" t="s">
        <v>232</v>
      </c>
      <c r="AD107" s="55" t="s">
        <v>233</v>
      </c>
      <c r="AE107" s="17"/>
      <c r="AF107" s="17"/>
      <c r="AG107" s="17"/>
      <c r="AH107" s="17"/>
      <c r="AI107" s="14">
        <f t="shared" si="21"/>
        <v>2</v>
      </c>
      <c r="AJ107" s="29">
        <v>1</v>
      </c>
      <c r="AK107" s="14" t="str">
        <f t="shared" si="18"/>
        <v/>
      </c>
      <c r="AL107" s="17"/>
      <c r="AO107" s="14">
        <f t="shared" si="22"/>
        <v>2</v>
      </c>
      <c r="AP107" s="29"/>
      <c r="AQ107" s="14" t="str">
        <f t="shared" si="19"/>
        <v>[1180,2,0];</v>
      </c>
      <c r="AR107" s="17"/>
      <c r="AU107" s="14">
        <v>2</v>
      </c>
      <c r="AV107" s="29">
        <v>1</v>
      </c>
      <c r="AW107" s="14" t="str">
        <f t="shared" si="20"/>
        <v/>
      </c>
      <c r="AX107" s="17"/>
      <c r="BA107" s="8">
        <v>1</v>
      </c>
    </row>
    <row r="108" ht="27" spans="2:53">
      <c r="B108" s="14">
        <v>1181</v>
      </c>
      <c r="C108" s="16" t="s">
        <v>243</v>
      </c>
      <c r="D108" s="15">
        <v>100181</v>
      </c>
      <c r="E108" s="17">
        <v>7</v>
      </c>
      <c r="F108" s="17"/>
      <c r="G108" s="17"/>
      <c r="H108" s="17"/>
      <c r="I108" s="29"/>
      <c r="J108" s="29" t="s">
        <v>235</v>
      </c>
      <c r="K108" s="29" t="s">
        <v>236</v>
      </c>
      <c r="L108" s="17"/>
      <c r="M108" s="17">
        <v>1</v>
      </c>
      <c r="N108" s="29"/>
      <c r="O108" s="29"/>
      <c r="P108" s="29"/>
      <c r="Q108" s="29">
        <v>130</v>
      </c>
      <c r="R108" s="38" t="s">
        <v>68</v>
      </c>
      <c r="S108" s="38" t="s">
        <v>68</v>
      </c>
      <c r="T108" s="17"/>
      <c r="U108" s="17" t="s">
        <v>162</v>
      </c>
      <c r="V108" s="17">
        <v>0</v>
      </c>
      <c r="W108" s="17"/>
      <c r="X108" s="17"/>
      <c r="Y108" s="53"/>
      <c r="Z108" s="16"/>
      <c r="AA108" s="54"/>
      <c r="AB108" s="17" t="s">
        <v>231</v>
      </c>
      <c r="AC108" s="55" t="s">
        <v>232</v>
      </c>
      <c r="AD108" s="55" t="s">
        <v>233</v>
      </c>
      <c r="AE108" s="17"/>
      <c r="AF108" s="17"/>
      <c r="AG108" s="17"/>
      <c r="AH108" s="17"/>
      <c r="AI108" s="14">
        <f t="shared" si="21"/>
        <v>0</v>
      </c>
      <c r="AJ108" s="29">
        <v>1</v>
      </c>
      <c r="AK108" s="14" t="str">
        <f t="shared" si="18"/>
        <v/>
      </c>
      <c r="AL108" s="17"/>
      <c r="AO108" s="14">
        <f t="shared" si="22"/>
        <v>0</v>
      </c>
      <c r="AP108" s="29"/>
      <c r="AQ108" s="14" t="str">
        <f t="shared" si="19"/>
        <v>[1181,0,0];</v>
      </c>
      <c r="AR108" s="17"/>
      <c r="AU108" s="14">
        <v>2</v>
      </c>
      <c r="AV108" s="29">
        <v>1</v>
      </c>
      <c r="AW108" s="14" t="str">
        <f t="shared" si="20"/>
        <v/>
      </c>
      <c r="AX108" s="17"/>
      <c r="BA108" s="8">
        <v>1</v>
      </c>
    </row>
    <row r="109" s="1" customFormat="1" ht="27" spans="1:53">
      <c r="A109" s="18" t="s">
        <v>22</v>
      </c>
      <c r="B109" s="14">
        <v>1182</v>
      </c>
      <c r="C109" s="16" t="s">
        <v>244</v>
      </c>
      <c r="D109" s="15">
        <v>100182</v>
      </c>
      <c r="E109" s="17">
        <v>7</v>
      </c>
      <c r="F109" s="17"/>
      <c r="G109" s="17"/>
      <c r="H109" s="17"/>
      <c r="I109" s="29"/>
      <c r="J109" s="29"/>
      <c r="K109" s="29"/>
      <c r="L109" s="17"/>
      <c r="M109" s="17">
        <v>1</v>
      </c>
      <c r="N109" s="29"/>
      <c r="O109" s="29"/>
      <c r="P109" s="29"/>
      <c r="Q109" s="29">
        <v>130</v>
      </c>
      <c r="R109" s="38" t="s">
        <v>68</v>
      </c>
      <c r="S109" s="38" t="s">
        <v>68</v>
      </c>
      <c r="T109" s="17"/>
      <c r="U109" s="17" t="s">
        <v>162</v>
      </c>
      <c r="V109" s="17">
        <v>0</v>
      </c>
      <c r="W109" s="17"/>
      <c r="X109" s="17"/>
      <c r="Y109" s="53"/>
      <c r="Z109" s="16"/>
      <c r="AA109" s="54">
        <v>2</v>
      </c>
      <c r="AB109" s="17" t="s">
        <v>231</v>
      </c>
      <c r="AC109" s="55" t="s">
        <v>232</v>
      </c>
      <c r="AD109" s="55" t="s">
        <v>233</v>
      </c>
      <c r="AE109" s="17"/>
      <c r="AF109" s="17"/>
      <c r="AG109" s="17"/>
      <c r="AH109" s="17"/>
      <c r="AI109" s="14">
        <f t="shared" si="21"/>
        <v>2</v>
      </c>
      <c r="AJ109" s="29">
        <v>1</v>
      </c>
      <c r="AK109" s="14" t="str">
        <f t="shared" si="18"/>
        <v/>
      </c>
      <c r="AL109" s="17"/>
      <c r="AM109" s="8"/>
      <c r="AN109" s="8"/>
      <c r="AO109" s="14">
        <f t="shared" si="22"/>
        <v>2</v>
      </c>
      <c r="AP109" s="29"/>
      <c r="AQ109" s="14" t="str">
        <f t="shared" si="19"/>
        <v>[1182,2,0];</v>
      </c>
      <c r="AR109" s="17"/>
      <c r="AS109" s="8"/>
      <c r="AT109" s="8"/>
      <c r="AU109" s="14">
        <v>2</v>
      </c>
      <c r="AV109" s="29">
        <v>1</v>
      </c>
      <c r="AW109" s="14" t="str">
        <f t="shared" si="20"/>
        <v/>
      </c>
      <c r="AX109" s="17"/>
      <c r="BA109" s="1">
        <v>1</v>
      </c>
    </row>
    <row r="110" spans="2:53">
      <c r="B110" s="14">
        <v>1183</v>
      </c>
      <c r="C110" s="19" t="s">
        <v>245</v>
      </c>
      <c r="D110" s="15">
        <v>100183</v>
      </c>
      <c r="E110" s="20"/>
      <c r="F110" s="20"/>
      <c r="G110" s="20"/>
      <c r="H110" s="20"/>
      <c r="I110" s="30"/>
      <c r="J110" s="29"/>
      <c r="K110" s="29"/>
      <c r="L110" s="20"/>
      <c r="M110" s="20"/>
      <c r="N110" s="30"/>
      <c r="O110" s="30"/>
      <c r="P110" s="30"/>
      <c r="Q110" s="30"/>
      <c r="R110" s="39" t="s">
        <v>68</v>
      </c>
      <c r="S110" s="39" t="s">
        <v>68</v>
      </c>
      <c r="T110" s="20"/>
      <c r="U110" s="20" t="s">
        <v>69</v>
      </c>
      <c r="V110" s="20">
        <v>0</v>
      </c>
      <c r="W110" s="20"/>
      <c r="X110" s="20"/>
      <c r="Y110" s="57"/>
      <c r="Z110" s="19"/>
      <c r="AA110" s="58"/>
      <c r="AB110" s="20">
        <v>0</v>
      </c>
      <c r="AC110" s="20"/>
      <c r="AD110" s="20"/>
      <c r="AE110" s="20"/>
      <c r="AF110" s="20"/>
      <c r="AG110" s="20"/>
      <c r="AH110" s="20"/>
      <c r="AI110" s="14">
        <f t="shared" si="21"/>
        <v>0</v>
      </c>
      <c r="AJ110" s="30">
        <v>1</v>
      </c>
      <c r="AK110" s="14" t="str">
        <f t="shared" si="18"/>
        <v/>
      </c>
      <c r="AL110" s="20"/>
      <c r="AM110" s="1"/>
      <c r="AN110" s="1"/>
      <c r="AO110" s="14">
        <f t="shared" si="22"/>
        <v>0</v>
      </c>
      <c r="AP110" s="30">
        <v>1</v>
      </c>
      <c r="AQ110" s="14" t="str">
        <f t="shared" si="19"/>
        <v/>
      </c>
      <c r="AR110" s="20"/>
      <c r="AS110" s="1"/>
      <c r="AT110" s="1"/>
      <c r="AU110" s="14">
        <v>0</v>
      </c>
      <c r="AV110" s="30">
        <v>1</v>
      </c>
      <c r="AW110" s="14" t="str">
        <f t="shared" si="20"/>
        <v/>
      </c>
      <c r="AX110" s="20"/>
      <c r="BA110" s="8">
        <v>1</v>
      </c>
    </row>
    <row r="111" spans="2:53">
      <c r="B111" s="14">
        <v>1184</v>
      </c>
      <c r="C111" s="16" t="s">
        <v>246</v>
      </c>
      <c r="D111" s="15">
        <v>100184</v>
      </c>
      <c r="E111" s="17"/>
      <c r="F111" s="17"/>
      <c r="G111" s="17"/>
      <c r="H111" s="17"/>
      <c r="I111" s="29"/>
      <c r="J111" s="29"/>
      <c r="K111" s="29"/>
      <c r="L111" s="17"/>
      <c r="M111" s="17"/>
      <c r="N111" s="29"/>
      <c r="O111" s="29"/>
      <c r="P111" s="29"/>
      <c r="Q111" s="29"/>
      <c r="R111" s="38" t="s">
        <v>68</v>
      </c>
      <c r="S111" s="38" t="s">
        <v>68</v>
      </c>
      <c r="T111" s="17"/>
      <c r="U111" s="17" t="s">
        <v>69</v>
      </c>
      <c r="V111" s="17">
        <v>0</v>
      </c>
      <c r="W111" s="17"/>
      <c r="X111" s="17"/>
      <c r="Y111" s="53"/>
      <c r="Z111" s="16"/>
      <c r="AA111" s="54"/>
      <c r="AB111" s="17">
        <v>0</v>
      </c>
      <c r="AC111" s="17" t="s">
        <v>247</v>
      </c>
      <c r="AD111" s="17"/>
      <c r="AE111" s="17"/>
      <c r="AF111" s="17"/>
      <c r="AG111" s="17"/>
      <c r="AH111" s="17"/>
      <c r="AI111" s="14">
        <f t="shared" si="21"/>
        <v>0</v>
      </c>
      <c r="AJ111" s="29"/>
      <c r="AK111" s="14" t="e">
        <f>IF(AJ111=1,"",IF(#REF!="","["&amp;B111&amp;","&amp;AI111&amp;",0]","["&amp;B111&amp;","&amp;AI111&amp;",0];"))</f>
        <v>#REF!</v>
      </c>
      <c r="AL111" s="17"/>
      <c r="AO111" s="14">
        <f t="shared" si="22"/>
        <v>0</v>
      </c>
      <c r="AP111" s="29"/>
      <c r="AQ111" s="14" t="e">
        <f>IF(AP111=1,"",IF(#REF!="","["&amp;B111&amp;","&amp;AO111&amp;",0]","["&amp;B111&amp;","&amp;AO111&amp;",0];"))</f>
        <v>#REF!</v>
      </c>
      <c r="AR111" s="17"/>
      <c r="AU111" s="14">
        <v>0</v>
      </c>
      <c r="AV111" s="29">
        <v>1</v>
      </c>
      <c r="AW111" s="14" t="str">
        <f>IF(AV111=1,"",IF(#REF!="","["&amp;B111&amp;","&amp;AU111&amp;",0]","["&amp;B111&amp;","&amp;AU111&amp;",0];"))</f>
        <v/>
      </c>
      <c r="AX111" s="17"/>
      <c r="BA111" s="8">
        <v>1</v>
      </c>
    </row>
    <row r="112" spans="2:53">
      <c r="B112" s="14">
        <v>1241</v>
      </c>
      <c r="C112" s="19" t="s">
        <v>248</v>
      </c>
      <c r="D112" s="15">
        <v>100241</v>
      </c>
      <c r="E112" s="20"/>
      <c r="F112" s="20"/>
      <c r="G112" s="20"/>
      <c r="H112" s="20"/>
      <c r="I112" s="30"/>
      <c r="J112" s="29"/>
      <c r="K112" s="29"/>
      <c r="L112" s="20"/>
      <c r="M112" s="20"/>
      <c r="N112" s="30"/>
      <c r="O112" s="30"/>
      <c r="P112" s="30"/>
      <c r="Q112" s="30"/>
      <c r="R112" s="39" t="s">
        <v>68</v>
      </c>
      <c r="S112" s="39" t="s">
        <v>68</v>
      </c>
      <c r="T112" s="20"/>
      <c r="U112" s="20" t="s">
        <v>69</v>
      </c>
      <c r="V112" s="20">
        <v>0</v>
      </c>
      <c r="W112" s="20"/>
      <c r="X112" s="20"/>
      <c r="Y112" s="57"/>
      <c r="Z112" s="19"/>
      <c r="AA112" s="58"/>
      <c r="AB112" s="20">
        <v>0</v>
      </c>
      <c r="AC112" s="20">
        <v>1</v>
      </c>
      <c r="AD112" s="20"/>
      <c r="AE112" s="20"/>
      <c r="AF112" s="20"/>
      <c r="AG112" s="20"/>
      <c r="AH112" s="20"/>
      <c r="AI112" s="14">
        <f t="shared" ref="AI112:AI138" si="23">IF(AA112="",0,AA112)</f>
        <v>0</v>
      </c>
      <c r="AJ112" s="30">
        <v>1</v>
      </c>
      <c r="AK112" s="14" t="str">
        <f t="shared" ref="AK112:AK126" si="24">IF(AJ112=1,"",IF(B113="","["&amp;B112&amp;","&amp;AI112&amp;",0]","["&amp;B112&amp;","&amp;AI112&amp;",0];"))</f>
        <v/>
      </c>
      <c r="AL112" s="20"/>
      <c r="AM112" s="1"/>
      <c r="AN112" s="1"/>
      <c r="AO112" s="14">
        <f t="shared" ref="AO112:AO138" si="25">IF(AA112="",0,AA112)</f>
        <v>0</v>
      </c>
      <c r="AP112" s="30">
        <v>1</v>
      </c>
      <c r="AQ112" s="14" t="str">
        <f t="shared" ref="AQ112:AQ126" si="26">IF(AP112=1,"",IF(B113="","["&amp;B112&amp;","&amp;AO112&amp;",0]","["&amp;B112&amp;","&amp;AO112&amp;",0];"))</f>
        <v/>
      </c>
      <c r="AR112" s="20"/>
      <c r="AS112" s="1"/>
      <c r="AT112" s="1"/>
      <c r="AU112" s="14">
        <v>0</v>
      </c>
      <c r="AV112" s="30">
        <v>1</v>
      </c>
      <c r="AW112" s="14" t="str">
        <f t="shared" ref="AW112:AW126" si="27">IF(AV112=1,"",IF(B113="","["&amp;B112&amp;","&amp;AU112&amp;",0]","["&amp;B112&amp;","&amp;AU112&amp;",0];"))</f>
        <v/>
      </c>
      <c r="AX112" s="20"/>
      <c r="BA112" s="8">
        <v>1</v>
      </c>
    </row>
    <row r="113" spans="2:53">
      <c r="B113" s="14">
        <v>1242</v>
      </c>
      <c r="C113" s="16" t="s">
        <v>249</v>
      </c>
      <c r="D113" s="15">
        <v>100242</v>
      </c>
      <c r="E113" s="17">
        <v>7</v>
      </c>
      <c r="F113" s="17"/>
      <c r="G113" s="17"/>
      <c r="H113" s="17"/>
      <c r="I113" s="29"/>
      <c r="J113" s="29"/>
      <c r="K113" s="29" t="s">
        <v>250</v>
      </c>
      <c r="L113" s="17"/>
      <c r="M113" s="17">
        <v>1</v>
      </c>
      <c r="N113" s="29"/>
      <c r="O113" s="29"/>
      <c r="P113" s="29"/>
      <c r="Q113" s="29">
        <v>110</v>
      </c>
      <c r="R113" s="38" t="s">
        <v>68</v>
      </c>
      <c r="S113" s="38" t="s">
        <v>68</v>
      </c>
      <c r="T113" s="17"/>
      <c r="U113" s="17" t="s">
        <v>162</v>
      </c>
      <c r="V113" s="17">
        <v>0</v>
      </c>
      <c r="W113" s="17"/>
      <c r="X113" s="17"/>
      <c r="Y113" s="53"/>
      <c r="Z113" s="16"/>
      <c r="AA113" s="54"/>
      <c r="AB113" s="17">
        <v>0</v>
      </c>
      <c r="AC113" s="17"/>
      <c r="AD113" s="17"/>
      <c r="AE113" s="17"/>
      <c r="AF113" s="17"/>
      <c r="AG113" s="17"/>
      <c r="AH113" s="17"/>
      <c r="AI113" s="14">
        <f t="shared" si="23"/>
        <v>0</v>
      </c>
      <c r="AJ113" s="29">
        <v>1</v>
      </c>
      <c r="AK113" s="14" t="str">
        <f t="shared" si="24"/>
        <v/>
      </c>
      <c r="AL113" s="17"/>
      <c r="AO113" s="14">
        <f t="shared" si="25"/>
        <v>0</v>
      </c>
      <c r="AP113" s="29"/>
      <c r="AQ113" s="14" t="str">
        <f t="shared" si="26"/>
        <v>[1242,0,0];</v>
      </c>
      <c r="AR113" s="17"/>
      <c r="AU113" s="14">
        <v>0</v>
      </c>
      <c r="AV113" s="29">
        <v>1</v>
      </c>
      <c r="AW113" s="14" t="str">
        <f t="shared" si="27"/>
        <v/>
      </c>
      <c r="AX113" s="17"/>
      <c r="BA113" s="8">
        <v>1</v>
      </c>
    </row>
    <row r="114" spans="2:53">
      <c r="B114" s="14">
        <v>1243</v>
      </c>
      <c r="C114" s="16" t="s">
        <v>251</v>
      </c>
      <c r="D114" s="15">
        <v>100243</v>
      </c>
      <c r="E114" s="17">
        <v>7</v>
      </c>
      <c r="F114" s="17"/>
      <c r="G114" s="17"/>
      <c r="H114" s="17"/>
      <c r="I114" s="29"/>
      <c r="J114" s="29"/>
      <c r="K114" s="29" t="s">
        <v>250</v>
      </c>
      <c r="L114" s="17"/>
      <c r="M114" s="17">
        <v>1</v>
      </c>
      <c r="N114" s="29"/>
      <c r="O114" s="29"/>
      <c r="P114" s="29"/>
      <c r="Q114" s="29">
        <v>110</v>
      </c>
      <c r="R114" s="38" t="s">
        <v>68</v>
      </c>
      <c r="S114" s="38" t="s">
        <v>68</v>
      </c>
      <c r="T114" s="17"/>
      <c r="U114" s="17" t="s">
        <v>162</v>
      </c>
      <c r="V114" s="17">
        <v>0</v>
      </c>
      <c r="W114" s="17"/>
      <c r="X114" s="17"/>
      <c r="Y114" s="53"/>
      <c r="Z114" s="16"/>
      <c r="AA114" s="54"/>
      <c r="AB114" s="17">
        <v>0</v>
      </c>
      <c r="AC114" s="17"/>
      <c r="AD114" s="17"/>
      <c r="AE114" s="17"/>
      <c r="AF114" s="17"/>
      <c r="AG114" s="17"/>
      <c r="AH114" s="17"/>
      <c r="AI114" s="14">
        <f t="shared" si="23"/>
        <v>0</v>
      </c>
      <c r="AJ114" s="29">
        <v>1</v>
      </c>
      <c r="AK114" s="14" t="str">
        <f t="shared" si="24"/>
        <v/>
      </c>
      <c r="AL114" s="17"/>
      <c r="AO114" s="14">
        <f t="shared" si="25"/>
        <v>0</v>
      </c>
      <c r="AP114" s="29"/>
      <c r="AQ114" s="14" t="str">
        <f t="shared" si="26"/>
        <v>[1243,0,0];</v>
      </c>
      <c r="AR114" s="17"/>
      <c r="AU114" s="14">
        <v>0</v>
      </c>
      <c r="AV114" s="29">
        <v>1</v>
      </c>
      <c r="AW114" s="14" t="str">
        <f t="shared" si="27"/>
        <v/>
      </c>
      <c r="AX114" s="17"/>
      <c r="BA114" s="8">
        <v>1</v>
      </c>
    </row>
    <row r="115" spans="2:53">
      <c r="B115" s="14">
        <v>1244</v>
      </c>
      <c r="C115" s="16" t="s">
        <v>252</v>
      </c>
      <c r="D115" s="15">
        <v>100244</v>
      </c>
      <c r="E115" s="17">
        <v>7</v>
      </c>
      <c r="F115" s="17"/>
      <c r="G115" s="17"/>
      <c r="H115" s="17"/>
      <c r="I115" s="29"/>
      <c r="J115" s="29"/>
      <c r="K115" s="29" t="s">
        <v>250</v>
      </c>
      <c r="L115" s="17"/>
      <c r="M115" s="17">
        <v>1</v>
      </c>
      <c r="N115" s="29"/>
      <c r="O115" s="29"/>
      <c r="P115" s="29"/>
      <c r="Q115" s="29">
        <v>110</v>
      </c>
      <c r="R115" s="38" t="s">
        <v>68</v>
      </c>
      <c r="S115" s="38" t="s">
        <v>68</v>
      </c>
      <c r="T115" s="17"/>
      <c r="U115" s="17" t="s">
        <v>162</v>
      </c>
      <c r="V115" s="17">
        <v>0</v>
      </c>
      <c r="W115" s="17"/>
      <c r="X115" s="17"/>
      <c r="Y115" s="53"/>
      <c r="Z115" s="16"/>
      <c r="AA115" s="54"/>
      <c r="AB115" s="17">
        <v>0</v>
      </c>
      <c r="AC115" s="17"/>
      <c r="AD115" s="17"/>
      <c r="AE115" s="17"/>
      <c r="AF115" s="17"/>
      <c r="AG115" s="17"/>
      <c r="AH115" s="17"/>
      <c r="AI115" s="14">
        <f t="shared" si="23"/>
        <v>0</v>
      </c>
      <c r="AJ115" s="29">
        <v>1</v>
      </c>
      <c r="AK115" s="14" t="str">
        <f t="shared" si="24"/>
        <v/>
      </c>
      <c r="AL115" s="17"/>
      <c r="AO115" s="14">
        <f t="shared" si="25"/>
        <v>0</v>
      </c>
      <c r="AP115" s="29"/>
      <c r="AQ115" s="14" t="str">
        <f t="shared" si="26"/>
        <v>[1244,0,0];</v>
      </c>
      <c r="AR115" s="17"/>
      <c r="AU115" s="14">
        <v>0</v>
      </c>
      <c r="AV115" s="29">
        <v>1</v>
      </c>
      <c r="AW115" s="14" t="str">
        <f t="shared" si="27"/>
        <v/>
      </c>
      <c r="AX115" s="17"/>
      <c r="BA115" s="8">
        <v>1</v>
      </c>
    </row>
    <row r="116" ht="27" spans="2:53">
      <c r="B116" s="14">
        <v>1245</v>
      </c>
      <c r="C116" s="19" t="s">
        <v>253</v>
      </c>
      <c r="D116" s="15">
        <v>100245</v>
      </c>
      <c r="E116" s="20"/>
      <c r="F116" s="20"/>
      <c r="G116" s="20"/>
      <c r="H116" s="20"/>
      <c r="I116" s="30"/>
      <c r="J116" s="29"/>
      <c r="K116" s="29"/>
      <c r="L116" s="20"/>
      <c r="M116" s="20"/>
      <c r="N116" s="30"/>
      <c r="O116" s="30"/>
      <c r="P116" s="30"/>
      <c r="Q116" s="30"/>
      <c r="R116" s="39" t="s">
        <v>68</v>
      </c>
      <c r="S116" s="39" t="s">
        <v>68</v>
      </c>
      <c r="T116" s="20"/>
      <c r="U116" s="20" t="s">
        <v>69</v>
      </c>
      <c r="V116" s="20">
        <v>0</v>
      </c>
      <c r="W116" s="20"/>
      <c r="X116" s="20"/>
      <c r="Y116" s="57"/>
      <c r="Z116" s="19"/>
      <c r="AA116" s="58"/>
      <c r="AB116" s="20">
        <v>0</v>
      </c>
      <c r="AC116" s="59" t="s">
        <v>254</v>
      </c>
      <c r="AD116" s="20"/>
      <c r="AE116" s="20"/>
      <c r="AF116" s="20"/>
      <c r="AG116" s="20"/>
      <c r="AH116" s="20"/>
      <c r="AI116" s="14">
        <f t="shared" si="23"/>
        <v>0</v>
      </c>
      <c r="AJ116" s="30">
        <v>1</v>
      </c>
      <c r="AK116" s="14" t="str">
        <f t="shared" si="24"/>
        <v/>
      </c>
      <c r="AL116" s="20"/>
      <c r="AM116" s="1"/>
      <c r="AN116" s="1"/>
      <c r="AO116" s="14">
        <f t="shared" si="25"/>
        <v>0</v>
      </c>
      <c r="AP116" s="30">
        <v>1</v>
      </c>
      <c r="AQ116" s="14" t="str">
        <f t="shared" si="26"/>
        <v/>
      </c>
      <c r="AR116" s="20"/>
      <c r="AS116" s="1"/>
      <c r="AT116" s="1"/>
      <c r="AU116" s="14">
        <v>0</v>
      </c>
      <c r="AV116" s="30">
        <v>1</v>
      </c>
      <c r="AW116" s="14" t="str">
        <f t="shared" si="27"/>
        <v/>
      </c>
      <c r="AX116" s="20"/>
      <c r="BA116" s="8">
        <v>1</v>
      </c>
    </row>
    <row r="117" ht="27" spans="2:53">
      <c r="B117" s="14">
        <v>1246</v>
      </c>
      <c r="C117" s="19" t="s">
        <v>255</v>
      </c>
      <c r="D117" s="15">
        <v>100246</v>
      </c>
      <c r="E117" s="20"/>
      <c r="F117" s="20"/>
      <c r="G117" s="20"/>
      <c r="H117" s="20"/>
      <c r="I117" s="30"/>
      <c r="J117" s="29"/>
      <c r="K117" s="29"/>
      <c r="L117" s="20"/>
      <c r="M117" s="20"/>
      <c r="N117" s="30"/>
      <c r="O117" s="30"/>
      <c r="P117" s="30"/>
      <c r="Q117" s="30"/>
      <c r="R117" s="39" t="s">
        <v>68</v>
      </c>
      <c r="S117" s="39" t="s">
        <v>68</v>
      </c>
      <c r="T117" s="20"/>
      <c r="U117" s="20" t="s">
        <v>69</v>
      </c>
      <c r="V117" s="20">
        <v>0</v>
      </c>
      <c r="W117" s="20"/>
      <c r="X117" s="20"/>
      <c r="Y117" s="57"/>
      <c r="Z117" s="19"/>
      <c r="AA117" s="58"/>
      <c r="AB117" s="20">
        <v>0</v>
      </c>
      <c r="AC117" s="59" t="s">
        <v>256</v>
      </c>
      <c r="AD117" s="20" t="s">
        <v>257</v>
      </c>
      <c r="AE117" s="20"/>
      <c r="AF117" s="20"/>
      <c r="AG117" s="20"/>
      <c r="AH117" s="20"/>
      <c r="AI117" s="14">
        <f t="shared" si="23"/>
        <v>0</v>
      </c>
      <c r="AJ117" s="30">
        <v>1</v>
      </c>
      <c r="AK117" s="14" t="str">
        <f t="shared" si="24"/>
        <v/>
      </c>
      <c r="AL117" s="20"/>
      <c r="AM117" s="1"/>
      <c r="AN117" s="1"/>
      <c r="AO117" s="14">
        <f t="shared" si="25"/>
        <v>0</v>
      </c>
      <c r="AP117" s="30">
        <v>1</v>
      </c>
      <c r="AQ117" s="14" t="str">
        <f t="shared" si="26"/>
        <v/>
      </c>
      <c r="AR117" s="20"/>
      <c r="AS117" s="1"/>
      <c r="AT117" s="1"/>
      <c r="AU117" s="14">
        <v>0</v>
      </c>
      <c r="AV117" s="30">
        <v>1</v>
      </c>
      <c r="AW117" s="14" t="str">
        <f t="shared" si="27"/>
        <v/>
      </c>
      <c r="AX117" s="20"/>
      <c r="BA117" s="8">
        <v>1</v>
      </c>
    </row>
    <row r="118" s="1" customFormat="1" spans="1:53">
      <c r="A118" s="18" t="s">
        <v>22</v>
      </c>
      <c r="B118" s="14">
        <v>1247</v>
      </c>
      <c r="C118" s="21" t="s">
        <v>258</v>
      </c>
      <c r="D118" s="15">
        <v>100247</v>
      </c>
      <c r="E118" s="17">
        <v>7</v>
      </c>
      <c r="F118" s="17"/>
      <c r="G118" s="17"/>
      <c r="H118" s="17"/>
      <c r="I118" s="29"/>
      <c r="J118" s="29"/>
      <c r="K118" s="29"/>
      <c r="L118" s="17"/>
      <c r="M118" s="17">
        <v>1</v>
      </c>
      <c r="N118" s="29"/>
      <c r="O118" s="29"/>
      <c r="P118" s="29"/>
      <c r="Q118" s="29"/>
      <c r="R118" s="38" t="s">
        <v>68</v>
      </c>
      <c r="S118" s="38" t="s">
        <v>68</v>
      </c>
      <c r="T118" s="17"/>
      <c r="U118" s="17" t="s">
        <v>69</v>
      </c>
      <c r="V118" s="17">
        <v>0</v>
      </c>
      <c r="W118" s="17"/>
      <c r="X118" s="17"/>
      <c r="Y118" s="53"/>
      <c r="Z118" s="16"/>
      <c r="AA118" s="54"/>
      <c r="AB118" s="17">
        <v>0</v>
      </c>
      <c r="AC118" s="55"/>
      <c r="AD118" s="17"/>
      <c r="AE118" s="17"/>
      <c r="AF118" s="17"/>
      <c r="AG118" s="17"/>
      <c r="AH118" s="17"/>
      <c r="AI118" s="14">
        <f t="shared" si="23"/>
        <v>0</v>
      </c>
      <c r="AJ118" s="29">
        <v>1</v>
      </c>
      <c r="AK118" s="14" t="str">
        <f t="shared" si="24"/>
        <v/>
      </c>
      <c r="AL118" s="17"/>
      <c r="AM118" s="8"/>
      <c r="AN118" s="8"/>
      <c r="AO118" s="14">
        <f t="shared" si="25"/>
        <v>0</v>
      </c>
      <c r="AP118" s="29"/>
      <c r="AQ118" s="14" t="str">
        <f t="shared" si="26"/>
        <v>[1247,0,0];</v>
      </c>
      <c r="AR118" s="17"/>
      <c r="AS118" s="8"/>
      <c r="AT118" s="8"/>
      <c r="AU118" s="14">
        <v>0</v>
      </c>
      <c r="AV118" s="29">
        <v>1</v>
      </c>
      <c r="AW118" s="14" t="str">
        <f t="shared" si="27"/>
        <v/>
      </c>
      <c r="AX118" s="17"/>
      <c r="BA118" s="1">
        <v>1</v>
      </c>
    </row>
    <row r="119" ht="27" spans="2:53">
      <c r="B119" s="14">
        <v>1248</v>
      </c>
      <c r="C119" s="16" t="s">
        <v>259</v>
      </c>
      <c r="D119" s="15">
        <v>100248</v>
      </c>
      <c r="E119" s="17"/>
      <c r="F119" s="17"/>
      <c r="G119" s="17"/>
      <c r="H119" s="17"/>
      <c r="I119" s="29"/>
      <c r="J119" s="29"/>
      <c r="K119" s="29"/>
      <c r="L119" s="17"/>
      <c r="M119" s="17"/>
      <c r="N119" s="29"/>
      <c r="O119" s="29"/>
      <c r="P119" s="29"/>
      <c r="Q119" s="29"/>
      <c r="R119" s="38" t="s">
        <v>68</v>
      </c>
      <c r="S119" s="38" t="s">
        <v>68</v>
      </c>
      <c r="T119" s="17"/>
      <c r="U119" s="17" t="s">
        <v>69</v>
      </c>
      <c r="V119" s="17">
        <v>0</v>
      </c>
      <c r="W119" s="17"/>
      <c r="X119" s="17"/>
      <c r="Y119" s="53"/>
      <c r="Z119" s="16"/>
      <c r="AA119" s="54"/>
      <c r="AB119" s="17">
        <v>0</v>
      </c>
      <c r="AC119" s="55" t="s">
        <v>260</v>
      </c>
      <c r="AD119" s="17"/>
      <c r="AE119" s="17"/>
      <c r="AF119" s="17"/>
      <c r="AG119" s="17"/>
      <c r="AH119" s="17"/>
      <c r="AI119" s="14">
        <f t="shared" si="23"/>
        <v>0</v>
      </c>
      <c r="AJ119" s="29">
        <v>1</v>
      </c>
      <c r="AK119" s="14" t="str">
        <f t="shared" si="24"/>
        <v/>
      </c>
      <c r="AL119" s="17"/>
      <c r="AO119" s="14">
        <f t="shared" si="25"/>
        <v>0</v>
      </c>
      <c r="AP119" s="29"/>
      <c r="AQ119" s="14" t="str">
        <f t="shared" si="26"/>
        <v>[1248,0,0];</v>
      </c>
      <c r="AR119" s="17"/>
      <c r="AU119" s="14">
        <v>0</v>
      </c>
      <c r="AV119" s="29"/>
      <c r="AW119" s="14" t="str">
        <f t="shared" si="27"/>
        <v>[1248,0,0];</v>
      </c>
      <c r="AX119" s="17"/>
      <c r="BA119" s="8">
        <v>1</v>
      </c>
    </row>
    <row r="120" spans="2:53">
      <c r="B120" s="14">
        <v>1249</v>
      </c>
      <c r="C120" s="16" t="s">
        <v>261</v>
      </c>
      <c r="D120" s="15">
        <v>100249</v>
      </c>
      <c r="E120" s="17">
        <v>7</v>
      </c>
      <c r="F120" s="17"/>
      <c r="G120" s="17"/>
      <c r="H120" s="17"/>
      <c r="I120" s="29"/>
      <c r="J120" s="29"/>
      <c r="K120" s="29"/>
      <c r="L120" s="17"/>
      <c r="M120" s="17">
        <v>1</v>
      </c>
      <c r="N120" s="29"/>
      <c r="O120" s="29"/>
      <c r="P120" s="29"/>
      <c r="Q120" s="29">
        <v>110</v>
      </c>
      <c r="R120" s="38" t="s">
        <v>68</v>
      </c>
      <c r="S120" s="38" t="s">
        <v>68</v>
      </c>
      <c r="T120" s="17"/>
      <c r="U120" s="17" t="s">
        <v>162</v>
      </c>
      <c r="V120" s="17">
        <v>0</v>
      </c>
      <c r="W120" s="17"/>
      <c r="X120" s="17"/>
      <c r="Y120" s="53"/>
      <c r="Z120" s="16"/>
      <c r="AA120" s="54">
        <v>-1</v>
      </c>
      <c r="AB120" s="17">
        <v>0</v>
      </c>
      <c r="AC120" s="17"/>
      <c r="AD120" s="17"/>
      <c r="AE120" s="17"/>
      <c r="AF120" s="17"/>
      <c r="AG120" s="17"/>
      <c r="AH120" s="17"/>
      <c r="AI120" s="14">
        <f t="shared" si="23"/>
        <v>-1</v>
      </c>
      <c r="AJ120" s="29">
        <v>1</v>
      </c>
      <c r="AK120" s="14" t="str">
        <f t="shared" si="24"/>
        <v/>
      </c>
      <c r="AL120" s="17"/>
      <c r="AO120" s="14">
        <f t="shared" si="25"/>
        <v>-1</v>
      </c>
      <c r="AP120" s="29"/>
      <c r="AQ120" s="14" t="str">
        <f t="shared" si="26"/>
        <v>[1249,-1,0];</v>
      </c>
      <c r="AR120" s="17"/>
      <c r="AU120" s="14">
        <v>0</v>
      </c>
      <c r="AV120" s="29"/>
      <c r="AW120" s="14" t="str">
        <f t="shared" si="27"/>
        <v>[1249,0,0];</v>
      </c>
      <c r="AX120" s="17"/>
      <c r="BA120" s="8">
        <v>1</v>
      </c>
    </row>
    <row r="121" spans="2:53">
      <c r="B121" s="14">
        <v>1250</v>
      </c>
      <c r="C121" s="16" t="s">
        <v>262</v>
      </c>
      <c r="D121" s="15">
        <v>100250</v>
      </c>
      <c r="E121" s="17">
        <v>7</v>
      </c>
      <c r="F121" s="17"/>
      <c r="G121" s="17"/>
      <c r="H121" s="17"/>
      <c r="I121" s="29"/>
      <c r="J121" s="29"/>
      <c r="K121" s="29"/>
      <c r="L121" s="17"/>
      <c r="M121" s="17">
        <v>1</v>
      </c>
      <c r="N121" s="29"/>
      <c r="O121" s="29"/>
      <c r="P121" s="29"/>
      <c r="Q121" s="29">
        <v>110</v>
      </c>
      <c r="R121" s="38" t="s">
        <v>68</v>
      </c>
      <c r="S121" s="38" t="s">
        <v>68</v>
      </c>
      <c r="T121" s="17"/>
      <c r="U121" s="17" t="s">
        <v>162</v>
      </c>
      <c r="V121" s="17">
        <v>0</v>
      </c>
      <c r="W121" s="17"/>
      <c r="X121" s="17"/>
      <c r="Y121" s="53"/>
      <c r="Z121" s="16"/>
      <c r="AA121" s="54">
        <v>-1</v>
      </c>
      <c r="AB121" s="17">
        <v>0</v>
      </c>
      <c r="AC121" s="17"/>
      <c r="AD121" s="17"/>
      <c r="AE121" s="17"/>
      <c r="AF121" s="17"/>
      <c r="AG121" s="17"/>
      <c r="AH121" s="17"/>
      <c r="AI121" s="14">
        <f t="shared" si="23"/>
        <v>-1</v>
      </c>
      <c r="AJ121" s="29">
        <v>1</v>
      </c>
      <c r="AK121" s="14" t="str">
        <f t="shared" si="24"/>
        <v/>
      </c>
      <c r="AL121" s="17"/>
      <c r="AO121" s="14">
        <f t="shared" si="25"/>
        <v>-1</v>
      </c>
      <c r="AP121" s="29"/>
      <c r="AQ121" s="14" t="str">
        <f t="shared" si="26"/>
        <v>[1250,-1,0];</v>
      </c>
      <c r="AR121" s="17"/>
      <c r="AU121" s="14">
        <v>0</v>
      </c>
      <c r="AV121" s="29"/>
      <c r="AW121" s="14" t="str">
        <f t="shared" si="27"/>
        <v>[1250,0,0];</v>
      </c>
      <c r="AX121" s="17"/>
      <c r="BA121" s="8">
        <v>1</v>
      </c>
    </row>
    <row r="122" s="1" customFormat="1" spans="1:53">
      <c r="A122" s="18" t="s">
        <v>22</v>
      </c>
      <c r="B122" s="14">
        <v>1251</v>
      </c>
      <c r="C122" s="16" t="s">
        <v>263</v>
      </c>
      <c r="D122" s="15">
        <v>100251</v>
      </c>
      <c r="E122" s="17">
        <v>7</v>
      </c>
      <c r="F122" s="17"/>
      <c r="G122" s="17"/>
      <c r="H122" s="17"/>
      <c r="I122" s="29"/>
      <c r="J122" s="29"/>
      <c r="K122" s="29"/>
      <c r="L122" s="17"/>
      <c r="M122" s="17">
        <v>1</v>
      </c>
      <c r="N122" s="29"/>
      <c r="O122" s="29"/>
      <c r="P122" s="29"/>
      <c r="Q122" s="29">
        <v>110</v>
      </c>
      <c r="R122" s="38" t="s">
        <v>68</v>
      </c>
      <c r="S122" s="38" t="s">
        <v>68</v>
      </c>
      <c r="T122" s="17"/>
      <c r="U122" s="17" t="s">
        <v>162</v>
      </c>
      <c r="V122" s="17">
        <v>0</v>
      </c>
      <c r="W122" s="17"/>
      <c r="X122" s="17"/>
      <c r="Y122" s="53"/>
      <c r="Z122" s="16"/>
      <c r="AA122" s="54">
        <v>-1</v>
      </c>
      <c r="AB122" s="17">
        <v>0</v>
      </c>
      <c r="AC122" s="17"/>
      <c r="AD122" s="17"/>
      <c r="AE122" s="17"/>
      <c r="AF122" s="17"/>
      <c r="AG122" s="17"/>
      <c r="AH122" s="17"/>
      <c r="AI122" s="14">
        <f t="shared" si="23"/>
        <v>-1</v>
      </c>
      <c r="AJ122" s="29">
        <v>1</v>
      </c>
      <c r="AK122" s="14" t="str">
        <f t="shared" si="24"/>
        <v/>
      </c>
      <c r="AL122" s="17"/>
      <c r="AM122" s="8"/>
      <c r="AN122" s="8"/>
      <c r="AO122" s="14">
        <f t="shared" si="25"/>
        <v>-1</v>
      </c>
      <c r="AP122" s="29"/>
      <c r="AQ122" s="14" t="str">
        <f t="shared" si="26"/>
        <v>[1251,-1,0];</v>
      </c>
      <c r="AR122" s="17"/>
      <c r="AS122" s="8"/>
      <c r="AT122" s="8"/>
      <c r="AU122" s="14">
        <v>0</v>
      </c>
      <c r="AV122" s="29"/>
      <c r="AW122" s="14" t="str">
        <f t="shared" si="27"/>
        <v>[1251,0,0];</v>
      </c>
      <c r="AX122" s="17"/>
      <c r="BA122" s="1">
        <v>1</v>
      </c>
    </row>
    <row r="123" s="1" customFormat="1" spans="1:53">
      <c r="A123" s="18" t="s">
        <v>22</v>
      </c>
      <c r="B123" s="14">
        <v>1252</v>
      </c>
      <c r="C123" s="21" t="s">
        <v>264</v>
      </c>
      <c r="D123" s="15">
        <v>100252</v>
      </c>
      <c r="E123" s="17">
        <v>7</v>
      </c>
      <c r="F123" s="17"/>
      <c r="G123" s="17"/>
      <c r="H123" s="17"/>
      <c r="I123" s="29"/>
      <c r="J123" s="29" t="s">
        <v>250</v>
      </c>
      <c r="K123" s="29" t="s">
        <v>265</v>
      </c>
      <c r="L123" s="17"/>
      <c r="M123" s="17">
        <v>1</v>
      </c>
      <c r="N123" s="29"/>
      <c r="O123" s="29"/>
      <c r="P123" s="29"/>
      <c r="Q123" s="29">
        <v>110</v>
      </c>
      <c r="R123" s="38" t="s">
        <v>68</v>
      </c>
      <c r="S123" s="38" t="s">
        <v>68</v>
      </c>
      <c r="T123" s="17"/>
      <c r="U123" s="17" t="s">
        <v>162</v>
      </c>
      <c r="V123" s="17">
        <v>0</v>
      </c>
      <c r="W123" s="17"/>
      <c r="X123" s="17"/>
      <c r="Y123" s="53"/>
      <c r="Z123" s="16"/>
      <c r="AA123" s="54"/>
      <c r="AB123" s="17">
        <v>0</v>
      </c>
      <c r="AC123" s="55"/>
      <c r="AD123" s="17"/>
      <c r="AE123" s="17"/>
      <c r="AF123" s="17"/>
      <c r="AG123" s="17"/>
      <c r="AH123" s="17"/>
      <c r="AI123" s="14">
        <f t="shared" si="23"/>
        <v>0</v>
      </c>
      <c r="AJ123" s="29">
        <v>1</v>
      </c>
      <c r="AK123" s="14" t="str">
        <f t="shared" si="24"/>
        <v/>
      </c>
      <c r="AL123" s="17"/>
      <c r="AM123" s="8"/>
      <c r="AN123" s="8"/>
      <c r="AO123" s="14">
        <f t="shared" si="25"/>
        <v>0</v>
      </c>
      <c r="AP123" s="29"/>
      <c r="AQ123" s="14" t="str">
        <f t="shared" si="26"/>
        <v>[1252,0,0];</v>
      </c>
      <c r="AR123" s="17"/>
      <c r="AS123" s="8"/>
      <c r="AT123" s="8"/>
      <c r="AU123" s="14">
        <v>0</v>
      </c>
      <c r="AV123" s="29"/>
      <c r="AW123" s="14" t="str">
        <f t="shared" si="27"/>
        <v>[1252,0,0];</v>
      </c>
      <c r="AX123" s="17"/>
      <c r="BA123" s="1">
        <v>1</v>
      </c>
    </row>
    <row r="124" spans="2:53">
      <c r="B124" s="14">
        <v>1253</v>
      </c>
      <c r="C124" s="21" t="s">
        <v>266</v>
      </c>
      <c r="D124" s="15">
        <v>100253</v>
      </c>
      <c r="E124" s="17">
        <v>7</v>
      </c>
      <c r="F124" s="17"/>
      <c r="G124" s="17"/>
      <c r="H124" s="17"/>
      <c r="I124" s="29"/>
      <c r="J124" s="29" t="s">
        <v>250</v>
      </c>
      <c r="K124" s="29" t="s">
        <v>267</v>
      </c>
      <c r="L124" s="17"/>
      <c r="M124" s="17">
        <v>1</v>
      </c>
      <c r="N124" s="29"/>
      <c r="O124" s="29"/>
      <c r="P124" s="29"/>
      <c r="Q124" s="29">
        <v>110</v>
      </c>
      <c r="R124" s="38" t="s">
        <v>68</v>
      </c>
      <c r="S124" s="38" t="s">
        <v>68</v>
      </c>
      <c r="T124" s="17"/>
      <c r="U124" s="17" t="s">
        <v>162</v>
      </c>
      <c r="V124" s="17">
        <v>0</v>
      </c>
      <c r="W124" s="17"/>
      <c r="X124" s="17"/>
      <c r="Y124" s="53"/>
      <c r="Z124" s="16"/>
      <c r="AA124" s="54">
        <v>-1</v>
      </c>
      <c r="AB124" s="17">
        <v>0</v>
      </c>
      <c r="AC124" s="17"/>
      <c r="AD124" s="17"/>
      <c r="AE124" s="17"/>
      <c r="AF124" s="17"/>
      <c r="AG124" s="17"/>
      <c r="AH124" s="17"/>
      <c r="AI124" s="14">
        <f t="shared" si="23"/>
        <v>-1</v>
      </c>
      <c r="AJ124" s="29">
        <v>1</v>
      </c>
      <c r="AK124" s="14" t="str">
        <f t="shared" si="24"/>
        <v/>
      </c>
      <c r="AL124" s="17"/>
      <c r="AO124" s="14">
        <f t="shared" si="25"/>
        <v>-1</v>
      </c>
      <c r="AP124" s="29"/>
      <c r="AQ124" s="14" t="str">
        <f t="shared" si="26"/>
        <v>[1253,-1,0];</v>
      </c>
      <c r="AR124" s="17"/>
      <c r="AU124" s="14">
        <v>0</v>
      </c>
      <c r="AV124" s="29"/>
      <c r="AW124" s="14" t="str">
        <f t="shared" si="27"/>
        <v>[1253,0,0];</v>
      </c>
      <c r="AX124" s="17"/>
      <c r="BA124" s="8">
        <v>1</v>
      </c>
    </row>
    <row r="125" s="1" customFormat="1" spans="1:53">
      <c r="A125" s="18" t="s">
        <v>22</v>
      </c>
      <c r="B125" s="14">
        <v>1254</v>
      </c>
      <c r="C125" s="16" t="s">
        <v>268</v>
      </c>
      <c r="D125" s="15">
        <v>100254</v>
      </c>
      <c r="E125" s="17"/>
      <c r="F125" s="17"/>
      <c r="G125" s="17"/>
      <c r="H125" s="17"/>
      <c r="I125" s="29"/>
      <c r="J125" s="29"/>
      <c r="K125" s="29"/>
      <c r="L125" s="17"/>
      <c r="M125" s="17"/>
      <c r="N125" s="29"/>
      <c r="O125" s="29"/>
      <c r="P125" s="29"/>
      <c r="Q125" s="29">
        <v>110</v>
      </c>
      <c r="R125" s="38" t="s">
        <v>68</v>
      </c>
      <c r="S125" s="38" t="s">
        <v>68</v>
      </c>
      <c r="T125" s="17"/>
      <c r="U125" s="17" t="s">
        <v>162</v>
      </c>
      <c r="V125" s="17">
        <v>0</v>
      </c>
      <c r="W125" s="17"/>
      <c r="X125" s="17"/>
      <c r="Y125" s="53"/>
      <c r="Z125" s="16"/>
      <c r="AA125" s="54"/>
      <c r="AB125" s="17">
        <v>0</v>
      </c>
      <c r="AC125" s="17" t="s">
        <v>269</v>
      </c>
      <c r="AD125" s="17"/>
      <c r="AE125" s="17"/>
      <c r="AF125" s="17"/>
      <c r="AG125" s="17"/>
      <c r="AH125" s="17"/>
      <c r="AI125" s="14">
        <f t="shared" si="23"/>
        <v>0</v>
      </c>
      <c r="AJ125" s="29">
        <v>1</v>
      </c>
      <c r="AK125" s="14" t="str">
        <f t="shared" si="24"/>
        <v/>
      </c>
      <c r="AL125" s="17"/>
      <c r="AM125" s="8"/>
      <c r="AN125" s="8"/>
      <c r="AO125" s="14">
        <f t="shared" si="25"/>
        <v>0</v>
      </c>
      <c r="AP125" s="29"/>
      <c r="AQ125" s="14" t="str">
        <f t="shared" si="26"/>
        <v>[1254,0,0];</v>
      </c>
      <c r="AR125" s="17"/>
      <c r="AS125" s="8"/>
      <c r="AT125" s="8"/>
      <c r="AU125" s="14">
        <v>0</v>
      </c>
      <c r="AV125" s="29">
        <v>1</v>
      </c>
      <c r="AW125" s="14" t="str">
        <f t="shared" si="27"/>
        <v/>
      </c>
      <c r="AX125" s="17"/>
      <c r="BA125" s="1">
        <v>1</v>
      </c>
    </row>
    <row r="126" spans="2:53">
      <c r="B126" s="14">
        <v>1255</v>
      </c>
      <c r="C126" s="16" t="s">
        <v>270</v>
      </c>
      <c r="D126" s="15">
        <v>100255</v>
      </c>
      <c r="E126" s="17">
        <v>7</v>
      </c>
      <c r="F126" s="17"/>
      <c r="G126" s="17"/>
      <c r="H126" s="17"/>
      <c r="I126" s="29"/>
      <c r="J126" s="29"/>
      <c r="K126" s="29"/>
      <c r="L126" s="17"/>
      <c r="M126" s="17">
        <v>1</v>
      </c>
      <c r="N126" s="29"/>
      <c r="O126" s="29"/>
      <c r="P126" s="29"/>
      <c r="Q126" s="29">
        <v>110</v>
      </c>
      <c r="R126" s="38" t="s">
        <v>68</v>
      </c>
      <c r="S126" s="38" t="s">
        <v>68</v>
      </c>
      <c r="T126" s="17"/>
      <c r="U126" s="17" t="s">
        <v>162</v>
      </c>
      <c r="V126" s="17">
        <v>0</v>
      </c>
      <c r="W126" s="17"/>
      <c r="X126" s="17"/>
      <c r="Y126" s="53"/>
      <c r="Z126" s="16"/>
      <c r="AA126" s="54">
        <v>-1</v>
      </c>
      <c r="AB126" s="17">
        <v>0</v>
      </c>
      <c r="AC126" s="17"/>
      <c r="AD126" s="17"/>
      <c r="AE126" s="17"/>
      <c r="AF126" s="17"/>
      <c r="AG126" s="17"/>
      <c r="AH126" s="17"/>
      <c r="AI126" s="14">
        <f t="shared" si="23"/>
        <v>-1</v>
      </c>
      <c r="AJ126" s="29">
        <v>1</v>
      </c>
      <c r="AK126" s="14" t="str">
        <f t="shared" si="24"/>
        <v/>
      </c>
      <c r="AL126" s="17"/>
      <c r="AO126" s="14">
        <f t="shared" si="25"/>
        <v>-1</v>
      </c>
      <c r="AP126" s="29"/>
      <c r="AQ126" s="14" t="str">
        <f t="shared" si="26"/>
        <v>[1255,-1,0];</v>
      </c>
      <c r="AR126" s="17"/>
      <c r="AU126" s="14">
        <v>0</v>
      </c>
      <c r="AV126" s="29"/>
      <c r="AW126" s="14" t="str">
        <f t="shared" si="27"/>
        <v>[1255,0,0];</v>
      </c>
      <c r="AX126" s="17"/>
      <c r="BA126" s="8">
        <v>1</v>
      </c>
    </row>
    <row r="127" spans="2:53">
      <c r="B127" s="14">
        <v>1256</v>
      </c>
      <c r="C127" s="16" t="s">
        <v>271</v>
      </c>
      <c r="D127" s="15">
        <v>100256</v>
      </c>
      <c r="E127" s="17">
        <v>7</v>
      </c>
      <c r="F127" s="17"/>
      <c r="G127" s="17"/>
      <c r="H127" s="17"/>
      <c r="I127" s="29"/>
      <c r="J127" s="29"/>
      <c r="K127" s="29"/>
      <c r="L127" s="17"/>
      <c r="M127" s="17">
        <v>1</v>
      </c>
      <c r="N127" s="29"/>
      <c r="O127" s="29"/>
      <c r="P127" s="29"/>
      <c r="Q127" s="29">
        <v>110</v>
      </c>
      <c r="R127" s="38" t="s">
        <v>68</v>
      </c>
      <c r="S127" s="38" t="s">
        <v>68</v>
      </c>
      <c r="T127" s="17"/>
      <c r="U127" s="17" t="s">
        <v>162</v>
      </c>
      <c r="V127" s="17">
        <v>0</v>
      </c>
      <c r="W127" s="17"/>
      <c r="X127" s="17"/>
      <c r="Y127" s="53"/>
      <c r="Z127" s="16"/>
      <c r="AA127" s="54">
        <v>-1</v>
      </c>
      <c r="AB127" s="17">
        <v>0</v>
      </c>
      <c r="AC127" s="17"/>
      <c r="AD127" s="17"/>
      <c r="AE127" s="17"/>
      <c r="AF127" s="17"/>
      <c r="AG127" s="17"/>
      <c r="AH127" s="17"/>
      <c r="AI127" s="14">
        <f t="shared" si="23"/>
        <v>-1</v>
      </c>
      <c r="AJ127" s="29">
        <v>1</v>
      </c>
      <c r="AK127" s="14" t="str">
        <f t="shared" ref="AK127:AK138" si="28">IF(AJ127=1,"",IF(B128="","["&amp;B127&amp;","&amp;AI127&amp;",0]","["&amp;B127&amp;","&amp;AI127&amp;",0];"))</f>
        <v/>
      </c>
      <c r="AL127" s="17"/>
      <c r="AO127" s="14">
        <f t="shared" si="25"/>
        <v>-1</v>
      </c>
      <c r="AP127" s="29"/>
      <c r="AQ127" s="14" t="str">
        <f t="shared" ref="AQ127:AQ138" si="29">IF(AP127=1,"",IF(B128="","["&amp;B127&amp;","&amp;AO127&amp;",0]","["&amp;B127&amp;","&amp;AO127&amp;",0];"))</f>
        <v>[1256,-1,0];</v>
      </c>
      <c r="AR127" s="17"/>
      <c r="AU127" s="14">
        <v>0</v>
      </c>
      <c r="AV127" s="29"/>
      <c r="AW127" s="14" t="str">
        <f t="shared" ref="AW127:AW190" si="30">IF(AV127=1,"",IF(B128="","["&amp;B127&amp;","&amp;AU127&amp;",0]","["&amp;B127&amp;","&amp;AU127&amp;",0];"))</f>
        <v>[1256,0,0];</v>
      </c>
      <c r="AX127" s="17"/>
      <c r="BA127" s="8">
        <v>1</v>
      </c>
    </row>
    <row r="128" spans="2:53">
      <c r="B128" s="14">
        <v>1257</v>
      </c>
      <c r="C128" s="16" t="s">
        <v>272</v>
      </c>
      <c r="D128" s="15">
        <v>100257</v>
      </c>
      <c r="E128" s="17">
        <v>7</v>
      </c>
      <c r="F128" s="17"/>
      <c r="G128" s="17"/>
      <c r="H128" s="17"/>
      <c r="I128" s="29"/>
      <c r="J128" s="29"/>
      <c r="K128" s="29"/>
      <c r="L128" s="17"/>
      <c r="M128" s="17">
        <v>1</v>
      </c>
      <c r="N128" s="29"/>
      <c r="O128" s="29"/>
      <c r="P128" s="29"/>
      <c r="Q128" s="29">
        <v>110</v>
      </c>
      <c r="R128" s="38" t="s">
        <v>68</v>
      </c>
      <c r="S128" s="38" t="s">
        <v>68</v>
      </c>
      <c r="T128" s="17"/>
      <c r="U128" s="17" t="s">
        <v>162</v>
      </c>
      <c r="V128" s="17">
        <v>0</v>
      </c>
      <c r="W128" s="17"/>
      <c r="X128" s="17"/>
      <c r="Y128" s="53"/>
      <c r="Z128" s="16"/>
      <c r="AA128" s="54"/>
      <c r="AB128" s="17">
        <v>0</v>
      </c>
      <c r="AC128" s="17"/>
      <c r="AD128" s="17"/>
      <c r="AE128" s="17"/>
      <c r="AF128" s="17"/>
      <c r="AG128" s="17"/>
      <c r="AH128" s="17"/>
      <c r="AI128" s="14">
        <f t="shared" si="23"/>
        <v>0</v>
      </c>
      <c r="AJ128" s="29">
        <v>1</v>
      </c>
      <c r="AK128" s="14" t="str">
        <f t="shared" si="28"/>
        <v/>
      </c>
      <c r="AL128" s="17"/>
      <c r="AO128" s="14">
        <f t="shared" si="25"/>
        <v>0</v>
      </c>
      <c r="AP128" s="29"/>
      <c r="AQ128" s="14" t="str">
        <f t="shared" si="29"/>
        <v>[1257,0,0];</v>
      </c>
      <c r="AR128" s="17"/>
      <c r="AU128" s="14">
        <v>0</v>
      </c>
      <c r="AV128" s="29"/>
      <c r="AW128" s="14" t="str">
        <f t="shared" si="30"/>
        <v>[1257,0,0];</v>
      </c>
      <c r="AX128" s="17"/>
      <c r="BA128" s="8">
        <v>1</v>
      </c>
    </row>
    <row r="129" ht="40.5" spans="2:53">
      <c r="B129" s="14">
        <v>1258</v>
      </c>
      <c r="C129" s="16" t="s">
        <v>273</v>
      </c>
      <c r="D129" s="15">
        <v>100258</v>
      </c>
      <c r="E129" s="17"/>
      <c r="F129" s="17"/>
      <c r="G129" s="17"/>
      <c r="H129" s="17"/>
      <c r="I129" s="29"/>
      <c r="J129" s="29"/>
      <c r="K129" s="29"/>
      <c r="L129" s="17"/>
      <c r="M129" s="17">
        <v>1</v>
      </c>
      <c r="N129" s="29"/>
      <c r="O129" s="29"/>
      <c r="P129" s="29"/>
      <c r="Q129" s="29">
        <v>110</v>
      </c>
      <c r="R129" s="38" t="s">
        <v>68</v>
      </c>
      <c r="S129" s="38" t="s">
        <v>68</v>
      </c>
      <c r="T129" s="17"/>
      <c r="U129" s="17" t="s">
        <v>162</v>
      </c>
      <c r="V129" s="17"/>
      <c r="W129" s="17">
        <v>1</v>
      </c>
      <c r="X129" s="17"/>
      <c r="Y129" s="53"/>
      <c r="Z129" s="16"/>
      <c r="AA129" s="54"/>
      <c r="AB129" s="55" t="s">
        <v>70</v>
      </c>
      <c r="AC129" s="55" t="s">
        <v>71</v>
      </c>
      <c r="AD129" s="17"/>
      <c r="AE129" s="17"/>
      <c r="AF129" s="17"/>
      <c r="AG129" s="17"/>
      <c r="AH129" s="17"/>
      <c r="AI129" s="14">
        <f t="shared" si="23"/>
        <v>0</v>
      </c>
      <c r="AJ129" s="29">
        <v>1</v>
      </c>
      <c r="AK129" s="14" t="str">
        <f t="shared" si="28"/>
        <v/>
      </c>
      <c r="AL129" s="17"/>
      <c r="AO129" s="14">
        <f t="shared" si="25"/>
        <v>0</v>
      </c>
      <c r="AP129" s="29"/>
      <c r="AQ129" s="14" t="str">
        <f t="shared" si="29"/>
        <v>[1258,0,0];</v>
      </c>
      <c r="AR129" s="17"/>
      <c r="AU129" s="14">
        <v>0</v>
      </c>
      <c r="AV129" s="29">
        <v>1</v>
      </c>
      <c r="AW129" s="14" t="str">
        <f t="shared" si="30"/>
        <v/>
      </c>
      <c r="AX129" s="17"/>
      <c r="BA129" s="8">
        <v>1</v>
      </c>
    </row>
    <row r="130" s="1" customFormat="1" spans="1:53">
      <c r="A130" s="18" t="s">
        <v>22</v>
      </c>
      <c r="B130" s="14">
        <v>1259</v>
      </c>
      <c r="C130" s="19" t="s">
        <v>274</v>
      </c>
      <c r="D130" s="15">
        <v>100259</v>
      </c>
      <c r="E130" s="20">
        <v>7</v>
      </c>
      <c r="F130" s="20"/>
      <c r="G130" s="20">
        <v>1</v>
      </c>
      <c r="H130" s="20">
        <v>1</v>
      </c>
      <c r="I130" s="30"/>
      <c r="J130" s="30"/>
      <c r="K130" s="30"/>
      <c r="L130" s="20"/>
      <c r="M130" s="20">
        <v>1</v>
      </c>
      <c r="N130" s="30"/>
      <c r="O130" s="30"/>
      <c r="P130" s="30"/>
      <c r="Q130" s="30"/>
      <c r="R130" s="39" t="s">
        <v>68</v>
      </c>
      <c r="S130" s="39" t="s">
        <v>68</v>
      </c>
      <c r="T130" s="20"/>
      <c r="U130" s="20" t="s">
        <v>69</v>
      </c>
      <c r="V130" s="20">
        <v>0</v>
      </c>
      <c r="W130" s="20"/>
      <c r="X130" s="20"/>
      <c r="Y130" s="57"/>
      <c r="Z130" s="19"/>
      <c r="AA130" s="58"/>
      <c r="AB130" s="59">
        <v>0</v>
      </c>
      <c r="AC130" s="59"/>
      <c r="AD130" s="60"/>
      <c r="AE130" s="60"/>
      <c r="AF130" s="20"/>
      <c r="AG130" s="20"/>
      <c r="AH130" s="20"/>
      <c r="AI130" s="14">
        <f t="shared" si="23"/>
        <v>0</v>
      </c>
      <c r="AJ130" s="30">
        <v>1</v>
      </c>
      <c r="AK130" s="14" t="str">
        <f t="shared" si="28"/>
        <v/>
      </c>
      <c r="AL130" s="60"/>
      <c r="AO130" s="14">
        <f t="shared" si="25"/>
        <v>0</v>
      </c>
      <c r="AP130" s="30">
        <v>1</v>
      </c>
      <c r="AQ130" s="14" t="str">
        <f t="shared" si="29"/>
        <v/>
      </c>
      <c r="AR130" s="60"/>
      <c r="AU130" s="14">
        <v>0</v>
      </c>
      <c r="AV130" s="30">
        <v>1</v>
      </c>
      <c r="AW130" s="14" t="str">
        <f t="shared" si="30"/>
        <v/>
      </c>
      <c r="AX130" s="60"/>
      <c r="BA130" s="1">
        <v>1</v>
      </c>
    </row>
    <row r="131" s="1" customFormat="1" spans="1:53">
      <c r="A131" s="18"/>
      <c r="B131" s="14">
        <v>1260</v>
      </c>
      <c r="C131" s="16" t="s">
        <v>275</v>
      </c>
      <c r="D131" s="15">
        <v>100260</v>
      </c>
      <c r="E131" s="17"/>
      <c r="F131" s="17"/>
      <c r="G131" s="17"/>
      <c r="H131" s="17"/>
      <c r="I131" s="29"/>
      <c r="J131" s="29"/>
      <c r="K131" s="29"/>
      <c r="L131" s="17"/>
      <c r="M131" s="17"/>
      <c r="N131" s="29"/>
      <c r="O131" s="29"/>
      <c r="P131" s="29"/>
      <c r="Q131" s="29">
        <v>110</v>
      </c>
      <c r="R131" s="38" t="s">
        <v>68</v>
      </c>
      <c r="S131" s="38" t="s">
        <v>68</v>
      </c>
      <c r="T131" s="17"/>
      <c r="U131" s="17" t="s">
        <v>162</v>
      </c>
      <c r="V131" s="17">
        <v>0</v>
      </c>
      <c r="W131" s="17"/>
      <c r="X131" s="17"/>
      <c r="Y131" s="53"/>
      <c r="Z131" s="16"/>
      <c r="AA131" s="54"/>
      <c r="AB131" s="55">
        <v>0</v>
      </c>
      <c r="AC131" s="55" t="s">
        <v>276</v>
      </c>
      <c r="AD131" s="17" t="s">
        <v>277</v>
      </c>
      <c r="AE131" s="17"/>
      <c r="AF131" s="17"/>
      <c r="AG131" s="17"/>
      <c r="AH131" s="17"/>
      <c r="AI131" s="14">
        <f t="shared" si="23"/>
        <v>0</v>
      </c>
      <c r="AJ131" s="29">
        <v>1</v>
      </c>
      <c r="AK131" s="14" t="str">
        <f t="shared" si="28"/>
        <v/>
      </c>
      <c r="AL131" s="17"/>
      <c r="AM131" s="8"/>
      <c r="AN131" s="8"/>
      <c r="AO131" s="14">
        <f t="shared" si="25"/>
        <v>0</v>
      </c>
      <c r="AP131" s="29"/>
      <c r="AQ131" s="14" t="str">
        <f t="shared" si="29"/>
        <v>[1260,0,0];</v>
      </c>
      <c r="AR131" s="17"/>
      <c r="AS131" s="8"/>
      <c r="AT131" s="8"/>
      <c r="AU131" s="14">
        <v>0</v>
      </c>
      <c r="AV131" s="29">
        <v>1</v>
      </c>
      <c r="AW131" s="14" t="str">
        <f t="shared" si="30"/>
        <v/>
      </c>
      <c r="AX131" s="17"/>
      <c r="BA131" s="1">
        <v>1</v>
      </c>
    </row>
    <row r="132" s="1" customFormat="1" spans="1:53">
      <c r="A132" s="18"/>
      <c r="B132" s="14">
        <v>1261</v>
      </c>
      <c r="C132" s="16" t="s">
        <v>278</v>
      </c>
      <c r="D132" s="15">
        <v>100261</v>
      </c>
      <c r="E132" s="17"/>
      <c r="F132" s="17"/>
      <c r="G132" s="17"/>
      <c r="H132" s="17"/>
      <c r="I132" s="29"/>
      <c r="J132" s="29"/>
      <c r="K132" s="29"/>
      <c r="L132" s="17"/>
      <c r="M132" s="17"/>
      <c r="N132" s="29"/>
      <c r="O132" s="29"/>
      <c r="P132" s="29"/>
      <c r="Q132" s="29">
        <v>110</v>
      </c>
      <c r="R132" s="38" t="s">
        <v>68</v>
      </c>
      <c r="S132" s="38" t="s">
        <v>68</v>
      </c>
      <c r="T132" s="17"/>
      <c r="U132" s="17" t="s">
        <v>162</v>
      </c>
      <c r="V132" s="17">
        <v>0</v>
      </c>
      <c r="W132" s="17"/>
      <c r="X132" s="17"/>
      <c r="Y132" s="53"/>
      <c r="Z132" s="16"/>
      <c r="AA132" s="54"/>
      <c r="AB132" s="55">
        <v>0</v>
      </c>
      <c r="AC132" s="55">
        <v>1</v>
      </c>
      <c r="AD132" s="17"/>
      <c r="AE132" s="17"/>
      <c r="AF132" s="17"/>
      <c r="AG132" s="17"/>
      <c r="AH132" s="17"/>
      <c r="AI132" s="14">
        <f t="shared" si="23"/>
        <v>0</v>
      </c>
      <c r="AJ132" s="29">
        <v>1</v>
      </c>
      <c r="AK132" s="14" t="str">
        <f t="shared" si="28"/>
        <v/>
      </c>
      <c r="AL132" s="17"/>
      <c r="AM132" s="8"/>
      <c r="AN132" s="8"/>
      <c r="AO132" s="14">
        <f t="shared" si="25"/>
        <v>0</v>
      </c>
      <c r="AP132" s="29"/>
      <c r="AQ132" s="14" t="str">
        <f t="shared" si="29"/>
        <v>[1261,0,0];</v>
      </c>
      <c r="AR132" s="17"/>
      <c r="AS132" s="8"/>
      <c r="AT132" s="8"/>
      <c r="AU132" s="14">
        <v>0</v>
      </c>
      <c r="AV132" s="29">
        <v>1</v>
      </c>
      <c r="AW132" s="14" t="str">
        <f t="shared" si="30"/>
        <v/>
      </c>
      <c r="AX132" s="17"/>
      <c r="BA132" s="1">
        <v>1</v>
      </c>
    </row>
    <row r="133" ht="27" spans="2:53">
      <c r="B133" s="14">
        <v>1262</v>
      </c>
      <c r="C133" s="16" t="s">
        <v>279</v>
      </c>
      <c r="D133" s="15">
        <v>100262</v>
      </c>
      <c r="E133" s="17"/>
      <c r="F133" s="17"/>
      <c r="G133" s="17"/>
      <c r="H133" s="17"/>
      <c r="I133" s="29"/>
      <c r="J133" s="29"/>
      <c r="K133" s="29"/>
      <c r="L133" s="17"/>
      <c r="M133" s="17"/>
      <c r="N133" s="29"/>
      <c r="O133" s="29"/>
      <c r="P133" s="29"/>
      <c r="Q133" s="29">
        <v>110</v>
      </c>
      <c r="R133" s="38" t="s">
        <v>68</v>
      </c>
      <c r="S133" s="38" t="s">
        <v>68</v>
      </c>
      <c r="T133" s="17"/>
      <c r="U133" s="17" t="s">
        <v>162</v>
      </c>
      <c r="V133" s="17">
        <v>0</v>
      </c>
      <c r="W133" s="17"/>
      <c r="X133" s="17"/>
      <c r="Y133" s="53"/>
      <c r="Z133" s="16"/>
      <c r="AA133" s="54"/>
      <c r="AB133" s="17" t="s">
        <v>78</v>
      </c>
      <c r="AC133" s="55" t="s">
        <v>79</v>
      </c>
      <c r="AD133" s="17"/>
      <c r="AE133" s="17"/>
      <c r="AF133" s="17"/>
      <c r="AG133" s="17"/>
      <c r="AH133" s="17"/>
      <c r="AI133" s="14">
        <f t="shared" si="23"/>
        <v>0</v>
      </c>
      <c r="AJ133" s="29">
        <v>1</v>
      </c>
      <c r="AK133" s="14" t="str">
        <f t="shared" si="28"/>
        <v/>
      </c>
      <c r="AL133" s="17"/>
      <c r="AO133" s="14">
        <f t="shared" si="25"/>
        <v>0</v>
      </c>
      <c r="AP133" s="29"/>
      <c r="AQ133" s="14" t="str">
        <f t="shared" si="29"/>
        <v>[1262,0,0];</v>
      </c>
      <c r="AR133" s="17"/>
      <c r="AU133" s="14">
        <v>0</v>
      </c>
      <c r="AV133" s="29">
        <v>1</v>
      </c>
      <c r="AW133" s="14" t="str">
        <f t="shared" si="30"/>
        <v/>
      </c>
      <c r="AX133" s="17"/>
      <c r="BA133" s="8">
        <v>1</v>
      </c>
    </row>
    <row r="134" s="1" customFormat="1" ht="27" spans="1:53">
      <c r="A134" s="18" t="s">
        <v>22</v>
      </c>
      <c r="B134" s="14">
        <v>1263</v>
      </c>
      <c r="C134" s="19" t="s">
        <v>280</v>
      </c>
      <c r="D134" s="15">
        <v>100263</v>
      </c>
      <c r="E134" s="20"/>
      <c r="F134" s="20"/>
      <c r="G134" s="20"/>
      <c r="H134" s="20"/>
      <c r="I134" s="30"/>
      <c r="J134" s="29"/>
      <c r="K134" s="29"/>
      <c r="L134" s="20"/>
      <c r="M134" s="20"/>
      <c r="N134" s="30"/>
      <c r="O134" s="30"/>
      <c r="P134" s="30"/>
      <c r="Q134" s="30">
        <v>110</v>
      </c>
      <c r="R134" s="39" t="s">
        <v>68</v>
      </c>
      <c r="S134" s="39" t="s">
        <v>68</v>
      </c>
      <c r="T134" s="20"/>
      <c r="U134" s="20" t="s">
        <v>162</v>
      </c>
      <c r="V134" s="20">
        <v>0</v>
      </c>
      <c r="W134" s="20"/>
      <c r="X134" s="20"/>
      <c r="Y134" s="57"/>
      <c r="Z134" s="19"/>
      <c r="AA134" s="58">
        <v>1</v>
      </c>
      <c r="AB134" s="59" t="s">
        <v>281</v>
      </c>
      <c r="AC134" s="59" t="s">
        <v>282</v>
      </c>
      <c r="AD134" s="20"/>
      <c r="AE134" s="20"/>
      <c r="AF134" s="20"/>
      <c r="AG134" s="20"/>
      <c r="AH134" s="20"/>
      <c r="AI134" s="14">
        <f t="shared" si="23"/>
        <v>1</v>
      </c>
      <c r="AJ134" s="30">
        <v>1</v>
      </c>
      <c r="AK134" s="14" t="str">
        <f t="shared" si="28"/>
        <v/>
      </c>
      <c r="AL134" s="20"/>
      <c r="AO134" s="14">
        <f t="shared" si="25"/>
        <v>1</v>
      </c>
      <c r="AP134" s="30">
        <v>1</v>
      </c>
      <c r="AQ134" s="14" t="str">
        <f t="shared" si="29"/>
        <v/>
      </c>
      <c r="AR134" s="20"/>
      <c r="AU134" s="14">
        <v>1</v>
      </c>
      <c r="AV134" s="30">
        <v>1</v>
      </c>
      <c r="AW134" s="14" t="str">
        <f t="shared" si="30"/>
        <v/>
      </c>
      <c r="AX134" s="20"/>
      <c r="BA134" s="1">
        <v>1</v>
      </c>
    </row>
    <row r="135" ht="27" spans="2:53">
      <c r="B135" s="14">
        <v>1264</v>
      </c>
      <c r="C135" s="19" t="s">
        <v>283</v>
      </c>
      <c r="D135" s="15">
        <v>100264</v>
      </c>
      <c r="E135" s="20">
        <v>7</v>
      </c>
      <c r="F135" s="20"/>
      <c r="G135" s="20"/>
      <c r="H135" s="20"/>
      <c r="I135" s="30"/>
      <c r="J135" s="30"/>
      <c r="K135" s="30"/>
      <c r="L135" s="20"/>
      <c r="M135" s="20">
        <v>1</v>
      </c>
      <c r="N135" s="30"/>
      <c r="O135" s="30"/>
      <c r="P135" s="30"/>
      <c r="Q135" s="30">
        <v>110</v>
      </c>
      <c r="R135" s="39" t="s">
        <v>68</v>
      </c>
      <c r="S135" s="39" t="s">
        <v>68</v>
      </c>
      <c r="T135" s="20"/>
      <c r="U135" s="20" t="s">
        <v>162</v>
      </c>
      <c r="V135" s="20">
        <v>0</v>
      </c>
      <c r="W135" s="20"/>
      <c r="X135" s="20"/>
      <c r="Y135" s="57"/>
      <c r="Z135" s="19"/>
      <c r="AA135" s="58"/>
      <c r="AB135" s="20">
        <v>0</v>
      </c>
      <c r="AC135" s="59" t="s">
        <v>284</v>
      </c>
      <c r="AD135" s="20"/>
      <c r="AE135" s="20"/>
      <c r="AF135" s="20"/>
      <c r="AG135" s="20"/>
      <c r="AH135" s="20"/>
      <c r="AI135" s="14">
        <f t="shared" si="23"/>
        <v>0</v>
      </c>
      <c r="AJ135" s="30">
        <v>1</v>
      </c>
      <c r="AK135" s="14" t="str">
        <f t="shared" si="28"/>
        <v/>
      </c>
      <c r="AL135" s="20"/>
      <c r="AM135" s="1"/>
      <c r="AN135" s="1"/>
      <c r="AO135" s="14">
        <f t="shared" si="25"/>
        <v>0</v>
      </c>
      <c r="AP135" s="30">
        <v>1</v>
      </c>
      <c r="AQ135" s="14" t="str">
        <f t="shared" si="29"/>
        <v/>
      </c>
      <c r="AR135" s="20"/>
      <c r="AS135" s="1"/>
      <c r="AT135" s="1"/>
      <c r="AU135" s="14">
        <v>0</v>
      </c>
      <c r="AV135" s="30">
        <v>1</v>
      </c>
      <c r="AW135" s="14" t="str">
        <f t="shared" si="30"/>
        <v/>
      </c>
      <c r="AX135" s="20"/>
      <c r="BA135" s="8">
        <v>1</v>
      </c>
    </row>
    <row r="136" s="1" customFormat="1" ht="27" spans="1:53">
      <c r="A136" s="18" t="s">
        <v>22</v>
      </c>
      <c r="B136" s="14">
        <v>1265</v>
      </c>
      <c r="C136" s="21" t="s">
        <v>285</v>
      </c>
      <c r="D136" s="15">
        <v>100265</v>
      </c>
      <c r="E136" s="17">
        <v>7</v>
      </c>
      <c r="F136" s="17"/>
      <c r="G136" s="17"/>
      <c r="H136" s="17"/>
      <c r="I136" s="29"/>
      <c r="J136" s="29" t="s">
        <v>286</v>
      </c>
      <c r="K136" s="29" t="s">
        <v>167</v>
      </c>
      <c r="L136" s="17"/>
      <c r="M136" s="17">
        <v>1</v>
      </c>
      <c r="N136" s="29"/>
      <c r="O136" s="29"/>
      <c r="P136" s="29"/>
      <c r="Q136" s="29">
        <v>110</v>
      </c>
      <c r="R136" s="38" t="s">
        <v>68</v>
      </c>
      <c r="S136" s="38" t="s">
        <v>68</v>
      </c>
      <c r="T136" s="17"/>
      <c r="U136" s="17" t="s">
        <v>162</v>
      </c>
      <c r="V136" s="17">
        <v>0</v>
      </c>
      <c r="W136" s="17"/>
      <c r="X136" s="17"/>
      <c r="Y136" s="53"/>
      <c r="Z136" s="16"/>
      <c r="AA136" s="54">
        <v>-1</v>
      </c>
      <c r="AB136" s="17">
        <v>0</v>
      </c>
      <c r="AC136" s="55" t="s">
        <v>284</v>
      </c>
      <c r="AD136" s="17"/>
      <c r="AE136" s="17"/>
      <c r="AF136" s="17"/>
      <c r="AG136" s="17"/>
      <c r="AH136" s="17"/>
      <c r="AI136" s="14">
        <f t="shared" si="23"/>
        <v>-1</v>
      </c>
      <c r="AJ136" s="29">
        <v>1</v>
      </c>
      <c r="AK136" s="14" t="str">
        <f t="shared" si="28"/>
        <v/>
      </c>
      <c r="AL136" s="17"/>
      <c r="AM136" s="8"/>
      <c r="AN136" s="8"/>
      <c r="AO136" s="14">
        <f t="shared" si="25"/>
        <v>-1</v>
      </c>
      <c r="AP136" s="29"/>
      <c r="AQ136" s="14" t="str">
        <f t="shared" si="29"/>
        <v>[1265,-1,0];</v>
      </c>
      <c r="AR136" s="17"/>
      <c r="AS136" s="8"/>
      <c r="AT136" s="8"/>
      <c r="AU136" s="14">
        <v>-1</v>
      </c>
      <c r="AV136" s="29">
        <v>1</v>
      </c>
      <c r="AW136" s="14" t="str">
        <f t="shared" si="30"/>
        <v/>
      </c>
      <c r="AX136" s="17"/>
      <c r="BA136" s="1">
        <v>1</v>
      </c>
    </row>
    <row r="137" ht="27" spans="2:53">
      <c r="B137" s="14">
        <v>1266</v>
      </c>
      <c r="C137" s="19" t="s">
        <v>287</v>
      </c>
      <c r="D137" s="15">
        <v>100266</v>
      </c>
      <c r="E137" s="20">
        <v>7</v>
      </c>
      <c r="F137" s="20"/>
      <c r="G137" s="20"/>
      <c r="H137" s="20"/>
      <c r="I137" s="30"/>
      <c r="J137" s="30"/>
      <c r="K137" s="30"/>
      <c r="L137" s="20"/>
      <c r="M137" s="20">
        <v>1</v>
      </c>
      <c r="N137" s="30"/>
      <c r="O137" s="30"/>
      <c r="P137" s="30"/>
      <c r="Q137" s="30">
        <v>110</v>
      </c>
      <c r="R137" s="39" t="s">
        <v>68</v>
      </c>
      <c r="S137" s="39" t="s">
        <v>68</v>
      </c>
      <c r="T137" s="20"/>
      <c r="U137" s="20" t="s">
        <v>162</v>
      </c>
      <c r="V137" s="20">
        <v>0</v>
      </c>
      <c r="W137" s="20"/>
      <c r="X137" s="20"/>
      <c r="Y137" s="57"/>
      <c r="Z137" s="19"/>
      <c r="AA137" s="58"/>
      <c r="AB137" s="20">
        <v>0</v>
      </c>
      <c r="AC137" s="59" t="s">
        <v>284</v>
      </c>
      <c r="AD137" s="20"/>
      <c r="AE137" s="20"/>
      <c r="AF137" s="20"/>
      <c r="AG137" s="20"/>
      <c r="AH137" s="20"/>
      <c r="AI137" s="14">
        <f t="shared" si="23"/>
        <v>0</v>
      </c>
      <c r="AJ137" s="30">
        <v>1</v>
      </c>
      <c r="AK137" s="14" t="str">
        <f t="shared" si="28"/>
        <v/>
      </c>
      <c r="AL137" s="20"/>
      <c r="AM137" s="1"/>
      <c r="AN137" s="1"/>
      <c r="AO137" s="14">
        <f t="shared" si="25"/>
        <v>0</v>
      </c>
      <c r="AP137" s="30">
        <v>1</v>
      </c>
      <c r="AQ137" s="14" t="str">
        <f t="shared" si="29"/>
        <v/>
      </c>
      <c r="AR137" s="20"/>
      <c r="AS137" s="1"/>
      <c r="AT137" s="1"/>
      <c r="AU137" s="14">
        <v>0</v>
      </c>
      <c r="AV137" s="30">
        <v>1</v>
      </c>
      <c r="AW137" s="14" t="str">
        <f t="shared" si="30"/>
        <v/>
      </c>
      <c r="AX137" s="20"/>
      <c r="BA137" s="8">
        <v>1</v>
      </c>
    </row>
    <row r="138" ht="27" spans="2:53">
      <c r="B138" s="14">
        <v>1267</v>
      </c>
      <c r="C138" s="16" t="s">
        <v>288</v>
      </c>
      <c r="D138" s="15">
        <v>100267</v>
      </c>
      <c r="E138" s="17"/>
      <c r="F138" s="17"/>
      <c r="G138" s="17"/>
      <c r="H138" s="17"/>
      <c r="I138" s="29"/>
      <c r="J138" s="29"/>
      <c r="K138" s="29"/>
      <c r="L138" s="17"/>
      <c r="M138" s="17"/>
      <c r="N138" s="29"/>
      <c r="O138" s="29"/>
      <c r="P138" s="29"/>
      <c r="Q138" s="29">
        <v>110</v>
      </c>
      <c r="R138" s="38" t="s">
        <v>68</v>
      </c>
      <c r="S138" s="38" t="s">
        <v>68</v>
      </c>
      <c r="T138" s="17"/>
      <c r="U138" s="17" t="s">
        <v>162</v>
      </c>
      <c r="V138" s="17">
        <v>0</v>
      </c>
      <c r="W138" s="17"/>
      <c r="X138" s="17"/>
      <c r="Y138" s="53"/>
      <c r="Z138" s="16"/>
      <c r="AA138" s="54"/>
      <c r="AB138" s="17">
        <v>0</v>
      </c>
      <c r="AC138" s="55" t="s">
        <v>289</v>
      </c>
      <c r="AD138" s="17"/>
      <c r="AE138" s="17"/>
      <c r="AF138" s="17"/>
      <c r="AG138" s="17"/>
      <c r="AH138" s="17"/>
      <c r="AI138" s="14">
        <f t="shared" si="23"/>
        <v>0</v>
      </c>
      <c r="AJ138" s="29">
        <v>1</v>
      </c>
      <c r="AK138" s="14" t="str">
        <f t="shared" si="28"/>
        <v/>
      </c>
      <c r="AL138" s="17"/>
      <c r="AO138" s="14">
        <f t="shared" si="25"/>
        <v>0</v>
      </c>
      <c r="AP138" s="29"/>
      <c r="AQ138" s="14" t="str">
        <f t="shared" si="29"/>
        <v>[1267,0,0];</v>
      </c>
      <c r="AR138" s="17"/>
      <c r="AU138" s="14">
        <v>0</v>
      </c>
      <c r="AV138" s="29">
        <v>1</v>
      </c>
      <c r="AW138" s="14" t="str">
        <f t="shared" si="30"/>
        <v/>
      </c>
      <c r="AX138" s="17"/>
      <c r="BA138" s="8">
        <v>1</v>
      </c>
    </row>
    <row r="139" customFormat="1" spans="1:50">
      <c r="A139" s="7"/>
      <c r="B139" s="14">
        <v>1268</v>
      </c>
      <c r="C139" s="76" t="s">
        <v>290</v>
      </c>
      <c r="D139" s="15">
        <v>100268</v>
      </c>
      <c r="E139" s="17"/>
      <c r="F139" s="17"/>
      <c r="G139" s="17"/>
      <c r="H139" s="17"/>
      <c r="I139" s="29"/>
      <c r="J139" s="29"/>
      <c r="K139" s="29"/>
      <c r="L139" s="17"/>
      <c r="M139" s="17"/>
      <c r="N139" s="29"/>
      <c r="O139" s="29"/>
      <c r="P139" s="29"/>
      <c r="Q139" s="29"/>
      <c r="R139" s="38" t="s">
        <v>68</v>
      </c>
      <c r="S139" s="38" t="s">
        <v>68</v>
      </c>
      <c r="T139" s="17"/>
      <c r="U139" s="17"/>
      <c r="V139" s="17">
        <v>0</v>
      </c>
      <c r="W139" s="17"/>
      <c r="X139" s="17"/>
      <c r="Y139" s="53"/>
      <c r="Z139" s="16"/>
      <c r="AA139" s="54"/>
      <c r="AB139" s="17">
        <v>0</v>
      </c>
      <c r="AC139" s="96" t="s">
        <v>291</v>
      </c>
      <c r="AD139" s="17"/>
      <c r="AE139" s="17"/>
      <c r="AF139" s="17"/>
      <c r="AG139" s="17"/>
      <c r="AH139" s="17"/>
      <c r="AI139" s="14">
        <v>0</v>
      </c>
      <c r="AJ139" s="29"/>
      <c r="AK139" s="14" t="str">
        <f>IF(AJ139=1,"",IF(B141="","["&amp;B139&amp;","&amp;AI139&amp;",0]","["&amp;B139&amp;","&amp;AI139&amp;",0];"))</f>
        <v>[1268,0,0];</v>
      </c>
      <c r="AL139" s="17"/>
      <c r="AM139" s="8"/>
      <c r="AN139" s="8"/>
      <c r="AO139" s="14">
        <v>0</v>
      </c>
      <c r="AP139" s="29"/>
      <c r="AQ139" s="14" t="str">
        <f>IF(AP139=1,"",IF(B141="","["&amp;B139&amp;","&amp;AO139&amp;",0]","["&amp;B139&amp;","&amp;AO139&amp;",0];"))</f>
        <v>[1268,0,0];</v>
      </c>
      <c r="AR139" s="17"/>
      <c r="AS139" s="8"/>
      <c r="AT139" s="8"/>
      <c r="AU139" s="14">
        <v>0</v>
      </c>
      <c r="AV139" s="29">
        <v>1</v>
      </c>
      <c r="AW139" s="14" t="str">
        <f t="shared" si="30"/>
        <v/>
      </c>
      <c r="AX139" s="17"/>
    </row>
    <row r="140" customFormat="1" spans="1:50">
      <c r="A140" s="7"/>
      <c r="B140" s="14">
        <v>1269</v>
      </c>
      <c r="C140" s="89" t="s">
        <v>292</v>
      </c>
      <c r="D140" s="15">
        <v>100269</v>
      </c>
      <c r="E140" s="17"/>
      <c r="F140" s="17"/>
      <c r="G140" s="17"/>
      <c r="H140" s="17"/>
      <c r="I140" s="29"/>
      <c r="J140" s="29"/>
      <c r="K140" s="29"/>
      <c r="L140" s="17"/>
      <c r="M140" s="17"/>
      <c r="N140" s="29"/>
      <c r="O140" s="29"/>
      <c r="P140" s="29"/>
      <c r="Q140" s="29"/>
      <c r="R140" s="38" t="s">
        <v>68</v>
      </c>
      <c r="S140" s="38" t="s">
        <v>68</v>
      </c>
      <c r="T140" s="17"/>
      <c r="U140" s="17"/>
      <c r="V140" s="17">
        <v>0</v>
      </c>
      <c r="W140" s="17"/>
      <c r="X140" s="17"/>
      <c r="Y140" s="53"/>
      <c r="Z140" s="16"/>
      <c r="AA140" s="54"/>
      <c r="AB140" s="17">
        <v>0</v>
      </c>
      <c r="AC140" s="96" t="s">
        <v>291</v>
      </c>
      <c r="AD140" s="17"/>
      <c r="AE140" s="17"/>
      <c r="AF140" s="17"/>
      <c r="AG140" s="17"/>
      <c r="AH140" s="17"/>
      <c r="AI140" s="14">
        <v>0</v>
      </c>
      <c r="AJ140" s="29">
        <v>1</v>
      </c>
      <c r="AK140" s="14" t="str">
        <f>IF(AJ140=1,"",IF(B142="","["&amp;B140&amp;","&amp;AI140&amp;",0]","["&amp;B140&amp;","&amp;AI140&amp;",0];"))</f>
        <v/>
      </c>
      <c r="AL140" s="17"/>
      <c r="AM140" s="8"/>
      <c r="AN140" s="8"/>
      <c r="AO140" s="14">
        <v>0</v>
      </c>
      <c r="AP140" s="29"/>
      <c r="AQ140" s="14" t="str">
        <f>IF(AP140=1,"",IF(B142="","["&amp;B140&amp;","&amp;AO140&amp;",0]","["&amp;B140&amp;","&amp;AO140&amp;",0];"))</f>
        <v>[1269,0,0];</v>
      </c>
      <c r="AR140" s="17"/>
      <c r="AS140" s="8"/>
      <c r="AT140" s="8"/>
      <c r="AU140" s="14">
        <v>0</v>
      </c>
      <c r="AV140" s="29"/>
      <c r="AW140" s="14" t="str">
        <f t="shared" si="30"/>
        <v>[1269,0,0];</v>
      </c>
      <c r="AX140" s="17"/>
    </row>
    <row r="141" ht="27" spans="2:53">
      <c r="B141" s="14">
        <v>1270</v>
      </c>
      <c r="C141" s="16" t="s">
        <v>293</v>
      </c>
      <c r="D141" s="15">
        <v>100270</v>
      </c>
      <c r="E141" s="17"/>
      <c r="F141" s="17"/>
      <c r="G141" s="17"/>
      <c r="H141" s="17"/>
      <c r="I141" s="29"/>
      <c r="J141" s="29"/>
      <c r="K141" s="29"/>
      <c r="L141" s="17"/>
      <c r="M141" s="17"/>
      <c r="N141" s="29"/>
      <c r="O141" s="29"/>
      <c r="P141" s="29"/>
      <c r="Q141" s="29">
        <v>110</v>
      </c>
      <c r="R141" s="38" t="s">
        <v>68</v>
      </c>
      <c r="S141" s="38" t="s">
        <v>68</v>
      </c>
      <c r="T141" s="17"/>
      <c r="U141" s="17" t="s">
        <v>162</v>
      </c>
      <c r="V141" s="17">
        <v>0</v>
      </c>
      <c r="W141" s="17"/>
      <c r="X141" s="17"/>
      <c r="Y141" s="53"/>
      <c r="Z141" s="16"/>
      <c r="AA141" s="54"/>
      <c r="AB141" s="17">
        <v>0</v>
      </c>
      <c r="AC141" s="55" t="s">
        <v>294</v>
      </c>
      <c r="AD141" s="17"/>
      <c r="AE141" s="17"/>
      <c r="AF141" s="17"/>
      <c r="AG141" s="17"/>
      <c r="AH141" s="17"/>
      <c r="AI141" s="14">
        <f t="shared" ref="AI141:AI185" si="31">IF(AA141="",0,AA141)</f>
        <v>0</v>
      </c>
      <c r="AJ141" s="29">
        <v>1</v>
      </c>
      <c r="AK141" s="14" t="str">
        <f t="shared" ref="AK141:AK191" si="32">IF(AJ141=1,"",IF(B142="","["&amp;B141&amp;","&amp;AI141&amp;",0]","["&amp;B141&amp;","&amp;AI141&amp;",0];"))</f>
        <v/>
      </c>
      <c r="AL141" s="17"/>
      <c r="AO141" s="14">
        <f t="shared" ref="AO141:AO185" si="33">IF(AA141="",0,AA141)</f>
        <v>0</v>
      </c>
      <c r="AP141" s="29"/>
      <c r="AQ141" s="14" t="str">
        <f t="shared" ref="AQ141:AQ191" si="34">IF(AP141=1,"",IF(B142="","["&amp;B141&amp;","&amp;AO141&amp;",0]","["&amp;B141&amp;","&amp;AO141&amp;",0];"))</f>
        <v>[1270,0,0];</v>
      </c>
      <c r="AR141" s="17"/>
      <c r="AU141" s="14">
        <v>0</v>
      </c>
      <c r="AV141" s="29">
        <v>1</v>
      </c>
      <c r="AW141" s="14" t="str">
        <f t="shared" si="30"/>
        <v/>
      </c>
      <c r="AX141" s="17"/>
      <c r="BA141" s="8">
        <v>1</v>
      </c>
    </row>
    <row r="142" ht="27" spans="2:53">
      <c r="B142" s="14">
        <v>1271</v>
      </c>
      <c r="C142" s="16" t="s">
        <v>295</v>
      </c>
      <c r="D142" s="15">
        <v>100271</v>
      </c>
      <c r="E142" s="17"/>
      <c r="F142" s="17"/>
      <c r="G142" s="17"/>
      <c r="H142" s="17"/>
      <c r="I142" s="29"/>
      <c r="J142" s="29"/>
      <c r="K142" s="29"/>
      <c r="L142" s="17"/>
      <c r="M142" s="17"/>
      <c r="N142" s="29"/>
      <c r="O142" s="29"/>
      <c r="P142" s="29"/>
      <c r="Q142" s="29">
        <v>110</v>
      </c>
      <c r="R142" s="38" t="s">
        <v>68</v>
      </c>
      <c r="S142" s="38" t="s">
        <v>68</v>
      </c>
      <c r="T142" s="17"/>
      <c r="U142" s="17" t="s">
        <v>162</v>
      </c>
      <c r="V142" s="17"/>
      <c r="W142" s="17">
        <v>1</v>
      </c>
      <c r="X142" s="17"/>
      <c r="Y142" s="53"/>
      <c r="Z142" s="16"/>
      <c r="AA142" s="54"/>
      <c r="AB142" s="17">
        <v>0</v>
      </c>
      <c r="AC142" s="55" t="s">
        <v>296</v>
      </c>
      <c r="AD142" s="55"/>
      <c r="AE142" s="17"/>
      <c r="AF142" s="17"/>
      <c r="AG142" s="17"/>
      <c r="AH142" s="17"/>
      <c r="AI142" s="14">
        <f t="shared" si="31"/>
        <v>0</v>
      </c>
      <c r="AJ142" s="29">
        <v>1</v>
      </c>
      <c r="AK142" s="14" t="str">
        <f t="shared" si="32"/>
        <v/>
      </c>
      <c r="AL142" s="17"/>
      <c r="AO142" s="14">
        <f t="shared" si="33"/>
        <v>0</v>
      </c>
      <c r="AP142" s="29"/>
      <c r="AQ142" s="14" t="str">
        <f t="shared" si="34"/>
        <v>[1271,0,0];</v>
      </c>
      <c r="AR142" s="17"/>
      <c r="AU142" s="14">
        <v>0</v>
      </c>
      <c r="AV142" s="29"/>
      <c r="AW142" s="14" t="str">
        <f t="shared" si="30"/>
        <v>[1271,0,0];</v>
      </c>
      <c r="AX142" s="17"/>
      <c r="BA142" s="8">
        <v>1</v>
      </c>
    </row>
    <row r="143" spans="2:53">
      <c r="B143" s="14">
        <v>1272</v>
      </c>
      <c r="C143" s="16" t="s">
        <v>297</v>
      </c>
      <c r="D143" s="15">
        <v>100272</v>
      </c>
      <c r="E143" s="17"/>
      <c r="F143" s="17"/>
      <c r="G143" s="17"/>
      <c r="H143" s="17"/>
      <c r="I143" s="29"/>
      <c r="J143" s="29"/>
      <c r="K143" s="29"/>
      <c r="L143" s="17"/>
      <c r="M143" s="17"/>
      <c r="N143" s="29"/>
      <c r="O143" s="29"/>
      <c r="P143" s="29"/>
      <c r="Q143" s="29">
        <v>110</v>
      </c>
      <c r="R143" s="38" t="s">
        <v>68</v>
      </c>
      <c r="S143" s="38" t="s">
        <v>68</v>
      </c>
      <c r="T143" s="17"/>
      <c r="U143" s="17" t="s">
        <v>162</v>
      </c>
      <c r="V143" s="17"/>
      <c r="W143" s="17"/>
      <c r="X143" s="17"/>
      <c r="Y143" s="53"/>
      <c r="Z143" s="16"/>
      <c r="AA143" s="54"/>
      <c r="AB143" s="17">
        <v>0</v>
      </c>
      <c r="AC143" s="55" t="s">
        <v>298</v>
      </c>
      <c r="AD143" s="55"/>
      <c r="AE143" s="17"/>
      <c r="AF143" s="17"/>
      <c r="AG143" s="17"/>
      <c r="AH143" s="17"/>
      <c r="AI143" s="14">
        <f t="shared" si="31"/>
        <v>0</v>
      </c>
      <c r="AJ143" s="29">
        <v>1</v>
      </c>
      <c r="AK143" s="14" t="str">
        <f t="shared" si="32"/>
        <v/>
      </c>
      <c r="AL143" s="17"/>
      <c r="AO143" s="14">
        <f t="shared" si="33"/>
        <v>0</v>
      </c>
      <c r="AP143" s="29"/>
      <c r="AQ143" s="14" t="str">
        <f t="shared" si="34"/>
        <v>[1272,0,0];</v>
      </c>
      <c r="AR143" s="17"/>
      <c r="AU143" s="14">
        <v>0</v>
      </c>
      <c r="AV143" s="29"/>
      <c r="AW143" s="14" t="str">
        <f t="shared" si="30"/>
        <v>[1272,0,0];</v>
      </c>
      <c r="AX143" s="17"/>
      <c r="BA143" s="8">
        <v>1</v>
      </c>
    </row>
    <row r="144" spans="2:53">
      <c r="B144" s="14">
        <v>1273</v>
      </c>
      <c r="C144" s="19" t="s">
        <v>299</v>
      </c>
      <c r="D144" s="15">
        <v>100273</v>
      </c>
      <c r="E144" s="20">
        <v>7</v>
      </c>
      <c r="F144" s="20"/>
      <c r="G144" s="20">
        <v>1</v>
      </c>
      <c r="H144" s="20">
        <v>1</v>
      </c>
      <c r="I144" s="30"/>
      <c r="J144" s="30"/>
      <c r="K144" s="30"/>
      <c r="L144" s="20"/>
      <c r="M144" s="20">
        <v>1</v>
      </c>
      <c r="N144" s="30"/>
      <c r="O144" s="30"/>
      <c r="P144" s="30"/>
      <c r="Q144" s="30"/>
      <c r="R144" s="39" t="s">
        <v>68</v>
      </c>
      <c r="S144" s="39" t="s">
        <v>68</v>
      </c>
      <c r="T144" s="20"/>
      <c r="U144" s="20" t="s">
        <v>69</v>
      </c>
      <c r="V144" s="20">
        <v>0</v>
      </c>
      <c r="W144" s="20"/>
      <c r="X144" s="20"/>
      <c r="Y144" s="57"/>
      <c r="Z144" s="19"/>
      <c r="AA144" s="58"/>
      <c r="AB144" s="59">
        <v>0</v>
      </c>
      <c r="AC144" s="59"/>
      <c r="AD144" s="60"/>
      <c r="AE144" s="60"/>
      <c r="AF144" s="20"/>
      <c r="AG144" s="20"/>
      <c r="AH144" s="20"/>
      <c r="AI144" s="14">
        <f t="shared" si="31"/>
        <v>0</v>
      </c>
      <c r="AJ144" s="30">
        <v>1</v>
      </c>
      <c r="AK144" s="14" t="str">
        <f t="shared" si="32"/>
        <v/>
      </c>
      <c r="AL144" s="60"/>
      <c r="AM144" s="1"/>
      <c r="AN144" s="1"/>
      <c r="AO144" s="14">
        <f t="shared" si="33"/>
        <v>0</v>
      </c>
      <c r="AP144" s="30">
        <v>1</v>
      </c>
      <c r="AQ144" s="14" t="str">
        <f t="shared" si="34"/>
        <v/>
      </c>
      <c r="AR144" s="60"/>
      <c r="AS144" s="1"/>
      <c r="AT144" s="1"/>
      <c r="AU144" s="14">
        <v>0</v>
      </c>
      <c r="AV144" s="30">
        <v>1</v>
      </c>
      <c r="AW144" s="14" t="str">
        <f t="shared" si="30"/>
        <v/>
      </c>
      <c r="AX144" s="60"/>
      <c r="BA144" s="8">
        <v>1</v>
      </c>
    </row>
    <row r="145" spans="2:53">
      <c r="B145" s="14">
        <v>1274</v>
      </c>
      <c r="C145" s="19" t="s">
        <v>300</v>
      </c>
      <c r="D145" s="15">
        <v>100274</v>
      </c>
      <c r="E145" s="20">
        <v>7</v>
      </c>
      <c r="F145" s="20"/>
      <c r="G145" s="20"/>
      <c r="H145" s="20"/>
      <c r="I145" s="30"/>
      <c r="J145" s="30" t="s">
        <v>301</v>
      </c>
      <c r="K145" s="30" t="s">
        <v>302</v>
      </c>
      <c r="L145" s="20"/>
      <c r="M145" s="20">
        <v>1</v>
      </c>
      <c r="N145" s="30"/>
      <c r="O145" s="30"/>
      <c r="P145" s="30"/>
      <c r="Q145" s="30">
        <v>110</v>
      </c>
      <c r="R145" s="39" t="s">
        <v>68</v>
      </c>
      <c r="S145" s="39" t="s">
        <v>68</v>
      </c>
      <c r="T145" s="20"/>
      <c r="U145" s="20" t="s">
        <v>162</v>
      </c>
      <c r="V145" s="20">
        <v>0</v>
      </c>
      <c r="W145" s="20"/>
      <c r="X145" s="20"/>
      <c r="Y145" s="57"/>
      <c r="Z145" s="19"/>
      <c r="AA145" s="58"/>
      <c r="AB145" s="20">
        <v>0</v>
      </c>
      <c r="AC145" s="20"/>
      <c r="AD145" s="20"/>
      <c r="AE145" s="20"/>
      <c r="AF145" s="20"/>
      <c r="AG145" s="20"/>
      <c r="AH145" s="20"/>
      <c r="AI145" s="14">
        <f t="shared" si="31"/>
        <v>0</v>
      </c>
      <c r="AJ145" s="30">
        <v>1</v>
      </c>
      <c r="AK145" s="14" t="str">
        <f t="shared" si="32"/>
        <v/>
      </c>
      <c r="AL145" s="20"/>
      <c r="AM145" s="1"/>
      <c r="AN145" s="1"/>
      <c r="AO145" s="14">
        <f t="shared" si="33"/>
        <v>0</v>
      </c>
      <c r="AP145" s="30">
        <v>1</v>
      </c>
      <c r="AQ145" s="14" t="str">
        <f t="shared" si="34"/>
        <v/>
      </c>
      <c r="AR145" s="20"/>
      <c r="AS145" s="1"/>
      <c r="AT145" s="1"/>
      <c r="AU145" s="14">
        <v>0</v>
      </c>
      <c r="AV145" s="30">
        <v>1</v>
      </c>
      <c r="AW145" s="14" t="str">
        <f t="shared" si="30"/>
        <v/>
      </c>
      <c r="AX145" s="20"/>
      <c r="BA145" s="8">
        <v>1</v>
      </c>
    </row>
    <row r="146" spans="2:53">
      <c r="B146" s="14">
        <v>1275</v>
      </c>
      <c r="C146" s="19" t="s">
        <v>303</v>
      </c>
      <c r="D146" s="15">
        <v>100275</v>
      </c>
      <c r="E146" s="20">
        <v>7</v>
      </c>
      <c r="F146" s="20"/>
      <c r="G146" s="20"/>
      <c r="H146" s="20"/>
      <c r="I146" s="30"/>
      <c r="J146" s="30"/>
      <c r="K146" s="30"/>
      <c r="L146" s="20"/>
      <c r="M146" s="20">
        <v>1</v>
      </c>
      <c r="N146" s="30"/>
      <c r="O146" s="30"/>
      <c r="P146" s="30"/>
      <c r="Q146" s="30">
        <v>110</v>
      </c>
      <c r="R146" s="39" t="s">
        <v>68</v>
      </c>
      <c r="S146" s="39" t="s">
        <v>68</v>
      </c>
      <c r="T146" s="20"/>
      <c r="U146" s="20" t="s">
        <v>162</v>
      </c>
      <c r="V146" s="20">
        <v>0</v>
      </c>
      <c r="W146" s="20"/>
      <c r="X146" s="20"/>
      <c r="Y146" s="57"/>
      <c r="Z146" s="19"/>
      <c r="AA146" s="58"/>
      <c r="AB146" s="20">
        <v>0</v>
      </c>
      <c r="AC146" s="20"/>
      <c r="AD146" s="20"/>
      <c r="AE146" s="20"/>
      <c r="AF146" s="20"/>
      <c r="AG146" s="20"/>
      <c r="AH146" s="20"/>
      <c r="AI146" s="14">
        <f t="shared" si="31"/>
        <v>0</v>
      </c>
      <c r="AJ146" s="30">
        <v>1</v>
      </c>
      <c r="AK146" s="14" t="str">
        <f t="shared" si="32"/>
        <v/>
      </c>
      <c r="AL146" s="20"/>
      <c r="AM146" s="1"/>
      <c r="AN146" s="1"/>
      <c r="AO146" s="14">
        <f t="shared" si="33"/>
        <v>0</v>
      </c>
      <c r="AP146" s="30"/>
      <c r="AQ146" s="14" t="str">
        <f t="shared" si="34"/>
        <v>[1275,0,0];</v>
      </c>
      <c r="AR146" s="20"/>
      <c r="AS146" s="1"/>
      <c r="AT146" s="1"/>
      <c r="AU146" s="14">
        <v>0</v>
      </c>
      <c r="AV146" s="30">
        <v>1</v>
      </c>
      <c r="AW146" s="14" t="str">
        <f t="shared" si="30"/>
        <v/>
      </c>
      <c r="AX146" s="20"/>
      <c r="BA146" s="8">
        <v>1</v>
      </c>
    </row>
    <row r="147" spans="2:53">
      <c r="B147" s="14">
        <v>1276</v>
      </c>
      <c r="C147" s="16" t="s">
        <v>304</v>
      </c>
      <c r="D147" s="15">
        <v>100276</v>
      </c>
      <c r="E147" s="17"/>
      <c r="F147" s="17"/>
      <c r="G147" s="17"/>
      <c r="H147" s="17"/>
      <c r="I147" s="29"/>
      <c r="J147" s="29"/>
      <c r="K147" s="29"/>
      <c r="L147" s="17"/>
      <c r="M147" s="17"/>
      <c r="N147" s="29"/>
      <c r="O147" s="29"/>
      <c r="P147" s="29"/>
      <c r="Q147" s="29">
        <v>110</v>
      </c>
      <c r="R147" s="38" t="s">
        <v>68</v>
      </c>
      <c r="S147" s="38" t="s">
        <v>68</v>
      </c>
      <c r="T147" s="17"/>
      <c r="U147" s="17" t="s">
        <v>162</v>
      </c>
      <c r="V147" s="17">
        <v>0</v>
      </c>
      <c r="W147" s="17"/>
      <c r="X147" s="17"/>
      <c r="Y147" s="53"/>
      <c r="Z147" s="16"/>
      <c r="AA147" s="54"/>
      <c r="AB147" s="55">
        <v>0</v>
      </c>
      <c r="AC147" s="55" t="s">
        <v>305</v>
      </c>
      <c r="AD147" s="17" t="s">
        <v>306</v>
      </c>
      <c r="AE147" s="17"/>
      <c r="AF147" s="17"/>
      <c r="AG147" s="17"/>
      <c r="AH147" s="17"/>
      <c r="AI147" s="14">
        <f t="shared" si="31"/>
        <v>0</v>
      </c>
      <c r="AJ147" s="29">
        <v>1</v>
      </c>
      <c r="AK147" s="14" t="str">
        <f t="shared" si="32"/>
        <v/>
      </c>
      <c r="AL147" s="17"/>
      <c r="AO147" s="14">
        <f t="shared" si="33"/>
        <v>0</v>
      </c>
      <c r="AP147" s="29"/>
      <c r="AQ147" s="14" t="str">
        <f t="shared" si="34"/>
        <v>[1276,0,0];</v>
      </c>
      <c r="AR147" s="17"/>
      <c r="AU147" s="14">
        <v>0</v>
      </c>
      <c r="AV147" s="29">
        <v>1</v>
      </c>
      <c r="AW147" s="14" t="str">
        <f t="shared" si="30"/>
        <v/>
      </c>
      <c r="AX147" s="17"/>
      <c r="BA147" s="8">
        <v>1</v>
      </c>
    </row>
    <row r="148" ht="27" spans="2:53">
      <c r="B148" s="14">
        <v>1277</v>
      </c>
      <c r="C148" s="19" t="s">
        <v>307</v>
      </c>
      <c r="D148" s="15">
        <v>100277</v>
      </c>
      <c r="E148" s="20"/>
      <c r="F148" s="20"/>
      <c r="G148" s="20"/>
      <c r="H148" s="20"/>
      <c r="I148" s="30"/>
      <c r="J148" s="29"/>
      <c r="K148" s="29"/>
      <c r="L148" s="20"/>
      <c r="M148" s="20">
        <v>1</v>
      </c>
      <c r="N148" s="30"/>
      <c r="O148" s="30"/>
      <c r="P148" s="30"/>
      <c r="Q148" s="30"/>
      <c r="R148" s="39" t="s">
        <v>68</v>
      </c>
      <c r="S148" s="39" t="s">
        <v>68</v>
      </c>
      <c r="T148" s="20"/>
      <c r="U148" s="20" t="s">
        <v>162</v>
      </c>
      <c r="V148" s="20">
        <v>0</v>
      </c>
      <c r="W148" s="20"/>
      <c r="X148" s="20"/>
      <c r="Y148" s="57"/>
      <c r="Z148" s="19"/>
      <c r="AA148" s="58"/>
      <c r="AB148" s="20">
        <v>0</v>
      </c>
      <c r="AC148" s="59" t="s">
        <v>308</v>
      </c>
      <c r="AD148" s="59" t="s">
        <v>309</v>
      </c>
      <c r="AE148" s="59" t="s">
        <v>310</v>
      </c>
      <c r="AF148" s="59" t="s">
        <v>311</v>
      </c>
      <c r="AG148" s="20"/>
      <c r="AH148" s="20"/>
      <c r="AI148" s="14">
        <f t="shared" si="31"/>
        <v>0</v>
      </c>
      <c r="AJ148" s="30">
        <v>1</v>
      </c>
      <c r="AK148" s="14" t="str">
        <f t="shared" si="32"/>
        <v/>
      </c>
      <c r="AL148" s="20"/>
      <c r="AM148" s="1"/>
      <c r="AN148" s="1"/>
      <c r="AO148" s="14">
        <f t="shared" si="33"/>
        <v>0</v>
      </c>
      <c r="AP148" s="30">
        <v>1</v>
      </c>
      <c r="AQ148" s="14" t="str">
        <f t="shared" si="34"/>
        <v/>
      </c>
      <c r="AR148" s="20"/>
      <c r="AS148" s="1"/>
      <c r="AT148" s="1"/>
      <c r="AU148" s="14">
        <v>0</v>
      </c>
      <c r="AV148" s="30">
        <v>1</v>
      </c>
      <c r="AW148" s="14" t="str">
        <f t="shared" si="30"/>
        <v/>
      </c>
      <c r="AX148" s="20"/>
      <c r="BA148" s="8">
        <v>1</v>
      </c>
    </row>
    <row r="149" spans="2:53">
      <c r="B149" s="14">
        <v>1278</v>
      </c>
      <c r="C149" s="16" t="s">
        <v>312</v>
      </c>
      <c r="D149" s="15">
        <v>100278</v>
      </c>
      <c r="E149" s="17"/>
      <c r="F149" s="17"/>
      <c r="G149" s="17"/>
      <c r="H149" s="17"/>
      <c r="I149" s="29"/>
      <c r="J149" s="29"/>
      <c r="K149" s="29"/>
      <c r="L149" s="17"/>
      <c r="M149" s="17">
        <v>1</v>
      </c>
      <c r="N149" s="29"/>
      <c r="O149" s="29"/>
      <c r="P149" s="29"/>
      <c r="Q149" s="29"/>
      <c r="R149" s="38" t="s">
        <v>68</v>
      </c>
      <c r="S149" s="38" t="s">
        <v>68</v>
      </c>
      <c r="T149" s="17"/>
      <c r="U149" s="17" t="s">
        <v>162</v>
      </c>
      <c r="V149" s="17">
        <v>0</v>
      </c>
      <c r="W149" s="17"/>
      <c r="X149" s="17"/>
      <c r="Y149" s="53"/>
      <c r="Z149" s="16"/>
      <c r="AA149" s="54"/>
      <c r="AB149" s="17">
        <v>0</v>
      </c>
      <c r="AC149" s="17" t="s">
        <v>247</v>
      </c>
      <c r="AD149" s="17" t="s">
        <v>313</v>
      </c>
      <c r="AE149" s="17"/>
      <c r="AF149" s="17"/>
      <c r="AG149" s="17"/>
      <c r="AH149" s="17"/>
      <c r="AI149" s="14">
        <f t="shared" si="31"/>
        <v>0</v>
      </c>
      <c r="AJ149" s="29">
        <v>1</v>
      </c>
      <c r="AK149" s="14" t="str">
        <f t="shared" si="32"/>
        <v/>
      </c>
      <c r="AL149" s="17"/>
      <c r="AO149" s="14">
        <f t="shared" si="33"/>
        <v>0</v>
      </c>
      <c r="AP149" s="29"/>
      <c r="AQ149" s="14" t="str">
        <f t="shared" si="34"/>
        <v>[1278,0,0];</v>
      </c>
      <c r="AR149" s="17"/>
      <c r="AU149" s="14">
        <v>0</v>
      </c>
      <c r="AV149" s="29">
        <v>1</v>
      </c>
      <c r="AW149" s="14" t="str">
        <f t="shared" si="30"/>
        <v/>
      </c>
      <c r="AX149" s="17"/>
      <c r="BA149" s="8">
        <v>1</v>
      </c>
    </row>
    <row r="150" spans="2:53">
      <c r="B150" s="14">
        <v>1279</v>
      </c>
      <c r="C150" s="19" t="s">
        <v>314</v>
      </c>
      <c r="D150" s="15">
        <v>100279</v>
      </c>
      <c r="E150" s="20">
        <v>7</v>
      </c>
      <c r="F150" s="20"/>
      <c r="G150" s="20">
        <v>1</v>
      </c>
      <c r="H150" s="20">
        <v>1</v>
      </c>
      <c r="I150" s="30"/>
      <c r="J150" s="30"/>
      <c r="K150" s="30"/>
      <c r="L150" s="20"/>
      <c r="M150" s="20">
        <v>1</v>
      </c>
      <c r="N150" s="30"/>
      <c r="O150" s="30"/>
      <c r="P150" s="30"/>
      <c r="Q150" s="30"/>
      <c r="R150" s="39" t="s">
        <v>68</v>
      </c>
      <c r="S150" s="39" t="s">
        <v>68</v>
      </c>
      <c r="T150" s="20"/>
      <c r="U150" s="20" t="s">
        <v>162</v>
      </c>
      <c r="V150" s="20">
        <v>0</v>
      </c>
      <c r="W150" s="20"/>
      <c r="X150" s="20"/>
      <c r="Y150" s="57"/>
      <c r="Z150" s="19"/>
      <c r="AA150" s="58"/>
      <c r="AB150" s="20">
        <v>0</v>
      </c>
      <c r="AC150" s="20"/>
      <c r="AD150" s="20"/>
      <c r="AE150" s="20"/>
      <c r="AF150" s="20"/>
      <c r="AG150" s="20"/>
      <c r="AH150" s="20"/>
      <c r="AI150" s="14">
        <f t="shared" si="31"/>
        <v>0</v>
      </c>
      <c r="AJ150" s="30">
        <v>1</v>
      </c>
      <c r="AK150" s="14" t="str">
        <f t="shared" si="32"/>
        <v/>
      </c>
      <c r="AL150" s="20"/>
      <c r="AM150" s="1"/>
      <c r="AN150" s="1"/>
      <c r="AO150" s="14">
        <f t="shared" si="33"/>
        <v>0</v>
      </c>
      <c r="AP150" s="30">
        <v>1</v>
      </c>
      <c r="AQ150" s="14" t="str">
        <f t="shared" si="34"/>
        <v/>
      </c>
      <c r="AR150" s="20"/>
      <c r="AS150" s="1"/>
      <c r="AT150" s="1"/>
      <c r="AU150" s="14">
        <v>0</v>
      </c>
      <c r="AV150" s="30">
        <v>1</v>
      </c>
      <c r="AW150" s="14" t="str">
        <f t="shared" si="30"/>
        <v/>
      </c>
      <c r="AX150" s="20"/>
      <c r="BA150" s="8">
        <v>1</v>
      </c>
    </row>
    <row r="151" s="1" customFormat="1" spans="1:53">
      <c r="A151" s="18" t="s">
        <v>22</v>
      </c>
      <c r="B151" s="14">
        <v>1280</v>
      </c>
      <c r="C151" s="16" t="s">
        <v>315</v>
      </c>
      <c r="D151" s="15">
        <v>100280</v>
      </c>
      <c r="E151" s="17">
        <v>7</v>
      </c>
      <c r="F151" s="17"/>
      <c r="G151" s="17"/>
      <c r="H151" s="17"/>
      <c r="I151" s="29"/>
      <c r="J151" s="29" t="s">
        <v>316</v>
      </c>
      <c r="K151" s="29" t="s">
        <v>302</v>
      </c>
      <c r="L151" s="17"/>
      <c r="M151" s="17">
        <v>1</v>
      </c>
      <c r="N151" s="29"/>
      <c r="O151" s="29"/>
      <c r="P151" s="29"/>
      <c r="Q151" s="29">
        <v>110</v>
      </c>
      <c r="R151" s="38" t="s">
        <v>68</v>
      </c>
      <c r="S151" s="38" t="s">
        <v>68</v>
      </c>
      <c r="T151" s="17"/>
      <c r="U151" s="17" t="s">
        <v>162</v>
      </c>
      <c r="V151" s="17">
        <v>0</v>
      </c>
      <c r="W151" s="17"/>
      <c r="X151" s="17"/>
      <c r="Y151" s="53"/>
      <c r="Z151" s="16"/>
      <c r="AA151" s="54"/>
      <c r="AB151" s="17">
        <v>0</v>
      </c>
      <c r="AC151" s="17"/>
      <c r="AD151" s="17"/>
      <c r="AE151" s="17"/>
      <c r="AF151" s="17"/>
      <c r="AG151" s="17"/>
      <c r="AH151" s="17"/>
      <c r="AI151" s="14">
        <f t="shared" si="31"/>
        <v>0</v>
      </c>
      <c r="AJ151" s="29">
        <v>1</v>
      </c>
      <c r="AK151" s="14" t="str">
        <f t="shared" si="32"/>
        <v/>
      </c>
      <c r="AL151" s="17"/>
      <c r="AM151" s="8"/>
      <c r="AN151" s="8"/>
      <c r="AO151" s="14">
        <f t="shared" si="33"/>
        <v>0</v>
      </c>
      <c r="AP151" s="29"/>
      <c r="AQ151" s="14" t="str">
        <f t="shared" si="34"/>
        <v>[1280,0,0];</v>
      </c>
      <c r="AR151" s="17"/>
      <c r="AS151" s="8"/>
      <c r="AT151" s="8"/>
      <c r="AU151" s="14">
        <v>0</v>
      </c>
      <c r="AV151" s="29">
        <v>1</v>
      </c>
      <c r="AW151" s="14" t="str">
        <f t="shared" si="30"/>
        <v/>
      </c>
      <c r="AX151" s="17"/>
      <c r="BA151" s="1">
        <v>1</v>
      </c>
    </row>
    <row r="152" spans="2:53">
      <c r="B152" s="14">
        <v>1281</v>
      </c>
      <c r="C152" s="16" t="s">
        <v>317</v>
      </c>
      <c r="D152" s="15">
        <v>100281</v>
      </c>
      <c r="E152" s="17"/>
      <c r="F152" s="17"/>
      <c r="G152" s="17"/>
      <c r="H152" s="17"/>
      <c r="I152" s="29"/>
      <c r="J152" s="29"/>
      <c r="K152" s="29"/>
      <c r="L152" s="17"/>
      <c r="M152" s="17"/>
      <c r="N152" s="29"/>
      <c r="O152" s="29"/>
      <c r="P152" s="29"/>
      <c r="Q152" s="29">
        <v>110</v>
      </c>
      <c r="R152" s="38" t="s">
        <v>68</v>
      </c>
      <c r="S152" s="38" t="s">
        <v>68</v>
      </c>
      <c r="T152" s="17"/>
      <c r="U152" s="17" t="s">
        <v>162</v>
      </c>
      <c r="V152" s="17">
        <v>0</v>
      </c>
      <c r="W152" s="17"/>
      <c r="X152" s="17"/>
      <c r="Y152" s="53"/>
      <c r="Z152" s="16"/>
      <c r="AA152" s="54"/>
      <c r="AB152" s="17">
        <v>0</v>
      </c>
      <c r="AC152" s="17">
        <v>1</v>
      </c>
      <c r="AD152" s="17"/>
      <c r="AE152" s="17"/>
      <c r="AF152" s="17"/>
      <c r="AG152" s="17"/>
      <c r="AH152" s="17"/>
      <c r="AI152" s="14">
        <f t="shared" si="31"/>
        <v>0</v>
      </c>
      <c r="AJ152" s="29">
        <v>1</v>
      </c>
      <c r="AK152" s="14" t="str">
        <f t="shared" si="32"/>
        <v/>
      </c>
      <c r="AL152" s="17"/>
      <c r="AO152" s="14">
        <f t="shared" si="33"/>
        <v>0</v>
      </c>
      <c r="AP152" s="29"/>
      <c r="AQ152" s="14" t="str">
        <f t="shared" si="34"/>
        <v>[1281,0,0];</v>
      </c>
      <c r="AR152" s="17"/>
      <c r="AU152" s="14">
        <v>0</v>
      </c>
      <c r="AV152" s="29">
        <v>1</v>
      </c>
      <c r="AW152" s="14" t="str">
        <f t="shared" si="30"/>
        <v/>
      </c>
      <c r="AX152" s="17"/>
      <c r="BA152" s="8">
        <v>1</v>
      </c>
    </row>
    <row r="153" s="1" customFormat="1" spans="1:53">
      <c r="A153" s="18" t="s">
        <v>22</v>
      </c>
      <c r="B153" s="14">
        <v>1282</v>
      </c>
      <c r="C153" s="16" t="s">
        <v>318</v>
      </c>
      <c r="D153" s="15">
        <v>100282</v>
      </c>
      <c r="E153" s="17">
        <v>7</v>
      </c>
      <c r="F153" s="17"/>
      <c r="G153" s="17"/>
      <c r="H153" s="17"/>
      <c r="I153" s="29"/>
      <c r="J153" s="29" t="s">
        <v>316</v>
      </c>
      <c r="K153" s="29" t="s">
        <v>302</v>
      </c>
      <c r="L153" s="17"/>
      <c r="M153" s="17">
        <v>1</v>
      </c>
      <c r="N153" s="29"/>
      <c r="O153" s="29"/>
      <c r="P153" s="29"/>
      <c r="Q153" s="29">
        <v>110</v>
      </c>
      <c r="R153" s="38" t="s">
        <v>68</v>
      </c>
      <c r="S153" s="38" t="s">
        <v>68</v>
      </c>
      <c r="T153" s="17"/>
      <c r="U153" s="17" t="s">
        <v>162</v>
      </c>
      <c r="V153" s="17">
        <v>0</v>
      </c>
      <c r="W153" s="17"/>
      <c r="X153" s="17"/>
      <c r="Y153" s="53"/>
      <c r="Z153" s="16"/>
      <c r="AA153" s="54"/>
      <c r="AB153" s="17">
        <v>0</v>
      </c>
      <c r="AC153" s="17"/>
      <c r="AD153" s="17"/>
      <c r="AE153" s="17"/>
      <c r="AF153" s="17"/>
      <c r="AG153" s="17"/>
      <c r="AH153" s="17"/>
      <c r="AI153" s="14">
        <f t="shared" si="31"/>
        <v>0</v>
      </c>
      <c r="AJ153" s="29">
        <v>1</v>
      </c>
      <c r="AK153" s="14" t="str">
        <f t="shared" si="32"/>
        <v/>
      </c>
      <c r="AL153" s="17"/>
      <c r="AM153" s="8"/>
      <c r="AN153" s="8"/>
      <c r="AO153" s="14">
        <f t="shared" si="33"/>
        <v>0</v>
      </c>
      <c r="AP153" s="29"/>
      <c r="AQ153" s="14" t="str">
        <f t="shared" si="34"/>
        <v>[1282,0,0];</v>
      </c>
      <c r="AR153" s="17"/>
      <c r="AS153" s="8"/>
      <c r="AT153" s="8"/>
      <c r="AU153" s="14">
        <v>0</v>
      </c>
      <c r="AV153" s="29">
        <v>1</v>
      </c>
      <c r="AW153" s="14" t="str">
        <f t="shared" si="30"/>
        <v/>
      </c>
      <c r="AX153" s="17"/>
      <c r="BA153" s="1">
        <v>1</v>
      </c>
    </row>
    <row r="154" s="1" customFormat="1" spans="1:53">
      <c r="A154" s="18" t="s">
        <v>22</v>
      </c>
      <c r="B154" s="14">
        <v>1283</v>
      </c>
      <c r="C154" s="16" t="s">
        <v>319</v>
      </c>
      <c r="D154" s="15">
        <v>100283</v>
      </c>
      <c r="E154" s="17">
        <v>7</v>
      </c>
      <c r="F154" s="17"/>
      <c r="G154" s="17"/>
      <c r="H154" s="17"/>
      <c r="I154" s="29"/>
      <c r="J154" s="29" t="s">
        <v>316</v>
      </c>
      <c r="K154" s="29" t="s">
        <v>302</v>
      </c>
      <c r="L154" s="17"/>
      <c r="M154" s="17">
        <v>1</v>
      </c>
      <c r="N154" s="29"/>
      <c r="O154" s="29"/>
      <c r="P154" s="29"/>
      <c r="Q154" s="29">
        <v>110</v>
      </c>
      <c r="R154" s="38" t="s">
        <v>68</v>
      </c>
      <c r="S154" s="38" t="s">
        <v>68</v>
      </c>
      <c r="T154" s="17"/>
      <c r="U154" s="17" t="s">
        <v>162</v>
      </c>
      <c r="V154" s="17">
        <v>0</v>
      </c>
      <c r="W154" s="17"/>
      <c r="X154" s="17"/>
      <c r="Y154" s="53"/>
      <c r="Z154" s="16"/>
      <c r="AA154" s="54"/>
      <c r="AB154" s="17">
        <v>0</v>
      </c>
      <c r="AC154" s="17"/>
      <c r="AD154" s="17"/>
      <c r="AE154" s="17"/>
      <c r="AF154" s="17"/>
      <c r="AG154" s="17"/>
      <c r="AH154" s="17"/>
      <c r="AI154" s="14">
        <f t="shared" si="31"/>
        <v>0</v>
      </c>
      <c r="AJ154" s="29">
        <v>1</v>
      </c>
      <c r="AK154" s="14" t="str">
        <f t="shared" si="32"/>
        <v/>
      </c>
      <c r="AL154" s="17"/>
      <c r="AM154" s="8"/>
      <c r="AN154" s="8"/>
      <c r="AO154" s="14">
        <f t="shared" si="33"/>
        <v>0</v>
      </c>
      <c r="AP154" s="29"/>
      <c r="AQ154" s="14" t="str">
        <f t="shared" si="34"/>
        <v>[1283,0,0];</v>
      </c>
      <c r="AR154" s="17"/>
      <c r="AS154" s="8"/>
      <c r="AT154" s="8"/>
      <c r="AU154" s="14">
        <v>0</v>
      </c>
      <c r="AV154" s="29">
        <v>1</v>
      </c>
      <c r="AW154" s="14" t="str">
        <f t="shared" si="30"/>
        <v/>
      </c>
      <c r="AX154" s="17"/>
      <c r="BA154" s="1">
        <v>1</v>
      </c>
    </row>
    <row r="155" spans="2:53">
      <c r="B155" s="14">
        <v>1284</v>
      </c>
      <c r="C155" s="16" t="s">
        <v>320</v>
      </c>
      <c r="D155" s="15">
        <v>100284</v>
      </c>
      <c r="E155" s="17"/>
      <c r="F155" s="17"/>
      <c r="G155" s="17"/>
      <c r="H155" s="17"/>
      <c r="I155" s="29"/>
      <c r="J155" s="29"/>
      <c r="K155" s="29"/>
      <c r="L155" s="17"/>
      <c r="M155" s="17"/>
      <c r="N155" s="29"/>
      <c r="O155" s="29"/>
      <c r="P155" s="29"/>
      <c r="Q155" s="29">
        <v>110</v>
      </c>
      <c r="R155" s="38" t="s">
        <v>68</v>
      </c>
      <c r="S155" s="38" t="s">
        <v>68</v>
      </c>
      <c r="T155" s="17"/>
      <c r="U155" s="17" t="s">
        <v>162</v>
      </c>
      <c r="V155" s="17">
        <v>0</v>
      </c>
      <c r="W155" s="17"/>
      <c r="X155" s="17"/>
      <c r="Y155" s="53"/>
      <c r="Z155" s="16"/>
      <c r="AA155" s="54"/>
      <c r="AB155" s="17">
        <v>0</v>
      </c>
      <c r="AC155" s="17">
        <v>1</v>
      </c>
      <c r="AD155" s="17"/>
      <c r="AE155" s="17"/>
      <c r="AF155" s="17"/>
      <c r="AG155" s="17"/>
      <c r="AH155" s="17"/>
      <c r="AI155" s="14">
        <f t="shared" si="31"/>
        <v>0</v>
      </c>
      <c r="AJ155" s="29">
        <v>1</v>
      </c>
      <c r="AK155" s="14" t="str">
        <f t="shared" si="32"/>
        <v/>
      </c>
      <c r="AL155" s="17"/>
      <c r="AO155" s="14">
        <f t="shared" si="33"/>
        <v>0</v>
      </c>
      <c r="AP155" s="29"/>
      <c r="AQ155" s="14" t="str">
        <f t="shared" si="34"/>
        <v>[1284,0,0];</v>
      </c>
      <c r="AR155" s="17"/>
      <c r="AU155" s="14">
        <v>0</v>
      </c>
      <c r="AV155" s="29">
        <v>1</v>
      </c>
      <c r="AW155" s="14" t="str">
        <f t="shared" si="30"/>
        <v/>
      </c>
      <c r="AX155" s="17"/>
      <c r="BA155" s="8">
        <v>1</v>
      </c>
    </row>
    <row r="156" spans="2:53">
      <c r="B156" s="14">
        <v>1285</v>
      </c>
      <c r="C156" s="16" t="s">
        <v>321</v>
      </c>
      <c r="D156" s="15">
        <v>100285</v>
      </c>
      <c r="E156" s="17">
        <v>7</v>
      </c>
      <c r="F156" s="17"/>
      <c r="G156" s="17"/>
      <c r="H156" s="17"/>
      <c r="I156" s="29"/>
      <c r="J156" s="29" t="s">
        <v>316</v>
      </c>
      <c r="K156" s="29" t="s">
        <v>302</v>
      </c>
      <c r="L156" s="17"/>
      <c r="M156" s="17">
        <v>1</v>
      </c>
      <c r="N156" s="29"/>
      <c r="O156" s="29"/>
      <c r="P156" s="29"/>
      <c r="Q156" s="29">
        <v>110</v>
      </c>
      <c r="R156" s="38" t="s">
        <v>68</v>
      </c>
      <c r="S156" s="38" t="s">
        <v>68</v>
      </c>
      <c r="T156" s="17"/>
      <c r="U156" s="17" t="s">
        <v>162</v>
      </c>
      <c r="V156" s="17">
        <v>0</v>
      </c>
      <c r="W156" s="17"/>
      <c r="X156" s="17"/>
      <c r="Y156" s="53"/>
      <c r="Z156" s="16"/>
      <c r="AA156" s="54"/>
      <c r="AB156" s="17">
        <v>0</v>
      </c>
      <c r="AC156" s="17"/>
      <c r="AD156" s="17"/>
      <c r="AE156" s="17"/>
      <c r="AF156" s="17"/>
      <c r="AG156" s="17"/>
      <c r="AH156" s="17"/>
      <c r="AI156" s="14">
        <f t="shared" si="31"/>
        <v>0</v>
      </c>
      <c r="AJ156" s="29">
        <v>1</v>
      </c>
      <c r="AK156" s="14" t="str">
        <f t="shared" si="32"/>
        <v/>
      </c>
      <c r="AL156" s="17"/>
      <c r="AO156" s="14">
        <f t="shared" si="33"/>
        <v>0</v>
      </c>
      <c r="AP156" s="29"/>
      <c r="AQ156" s="14" t="str">
        <f t="shared" si="34"/>
        <v>[1285,0,0];</v>
      </c>
      <c r="AR156" s="17"/>
      <c r="AU156" s="14">
        <v>0</v>
      </c>
      <c r="AV156" s="29">
        <v>1</v>
      </c>
      <c r="AW156" s="14" t="str">
        <f t="shared" si="30"/>
        <v/>
      </c>
      <c r="AX156" s="17"/>
      <c r="BA156" s="8">
        <v>1</v>
      </c>
    </row>
    <row r="157" spans="2:53">
      <c r="B157" s="14">
        <v>1286</v>
      </c>
      <c r="C157" s="16" t="s">
        <v>322</v>
      </c>
      <c r="D157" s="15">
        <v>100286</v>
      </c>
      <c r="E157" s="17">
        <v>7</v>
      </c>
      <c r="F157" s="17"/>
      <c r="G157" s="17"/>
      <c r="H157" s="17"/>
      <c r="I157" s="29"/>
      <c r="J157" s="29" t="s">
        <v>316</v>
      </c>
      <c r="K157" s="29" t="s">
        <v>302</v>
      </c>
      <c r="L157" s="17"/>
      <c r="M157" s="17">
        <v>1</v>
      </c>
      <c r="N157" s="29"/>
      <c r="O157" s="29"/>
      <c r="P157" s="29"/>
      <c r="Q157" s="29">
        <v>110</v>
      </c>
      <c r="R157" s="38" t="s">
        <v>68</v>
      </c>
      <c r="S157" s="38" t="s">
        <v>68</v>
      </c>
      <c r="T157" s="17"/>
      <c r="U157" s="17" t="s">
        <v>162</v>
      </c>
      <c r="V157" s="17">
        <v>0</v>
      </c>
      <c r="W157" s="17"/>
      <c r="X157" s="17"/>
      <c r="Y157" s="53"/>
      <c r="Z157" s="16"/>
      <c r="AA157" s="54"/>
      <c r="AB157" s="17">
        <v>0</v>
      </c>
      <c r="AC157" s="17"/>
      <c r="AD157" s="17"/>
      <c r="AE157" s="17"/>
      <c r="AF157" s="17"/>
      <c r="AG157" s="17"/>
      <c r="AH157" s="17"/>
      <c r="AI157" s="14">
        <f t="shared" si="31"/>
        <v>0</v>
      </c>
      <c r="AJ157" s="29">
        <v>1</v>
      </c>
      <c r="AK157" s="14" t="str">
        <f t="shared" si="32"/>
        <v/>
      </c>
      <c r="AL157" s="17"/>
      <c r="AO157" s="14">
        <f t="shared" si="33"/>
        <v>0</v>
      </c>
      <c r="AP157" s="29"/>
      <c r="AQ157" s="14" t="str">
        <f t="shared" si="34"/>
        <v>[1286,0,0];</v>
      </c>
      <c r="AR157" s="17"/>
      <c r="AU157" s="14">
        <v>0</v>
      </c>
      <c r="AV157" s="29">
        <v>1</v>
      </c>
      <c r="AW157" s="14" t="str">
        <f t="shared" si="30"/>
        <v/>
      </c>
      <c r="AX157" s="17"/>
      <c r="BA157" s="8">
        <v>1</v>
      </c>
    </row>
    <row r="158" s="1" customFormat="1" ht="27" spans="1:55">
      <c r="A158" s="18" t="s">
        <v>22</v>
      </c>
      <c r="B158" s="14">
        <v>1287</v>
      </c>
      <c r="C158" s="16" t="s">
        <v>323</v>
      </c>
      <c r="D158" s="15">
        <v>100287</v>
      </c>
      <c r="E158" s="17"/>
      <c r="F158" s="17"/>
      <c r="G158" s="17"/>
      <c r="H158" s="17"/>
      <c r="I158" s="29"/>
      <c r="J158" s="29"/>
      <c r="K158" s="29"/>
      <c r="L158" s="17"/>
      <c r="M158" s="17"/>
      <c r="N158" s="29"/>
      <c r="O158" s="29"/>
      <c r="P158" s="29"/>
      <c r="Q158" s="29">
        <v>110</v>
      </c>
      <c r="R158" s="38" t="s">
        <v>68</v>
      </c>
      <c r="S158" s="38" t="s">
        <v>68</v>
      </c>
      <c r="T158" s="17"/>
      <c r="U158" s="17" t="s">
        <v>162</v>
      </c>
      <c r="V158" s="17">
        <v>0</v>
      </c>
      <c r="W158" s="17"/>
      <c r="X158" s="17"/>
      <c r="Y158" s="53"/>
      <c r="Z158" s="16"/>
      <c r="AA158" s="54"/>
      <c r="AB158" s="17">
        <v>0</v>
      </c>
      <c r="AC158" s="55" t="s">
        <v>324</v>
      </c>
      <c r="AD158" s="55" t="s">
        <v>325</v>
      </c>
      <c r="AE158" s="55" t="s">
        <v>326</v>
      </c>
      <c r="AF158" s="55" t="s">
        <v>327</v>
      </c>
      <c r="AG158" s="55" t="s">
        <v>328</v>
      </c>
      <c r="AH158" s="55"/>
      <c r="AI158" s="14">
        <f t="shared" si="31"/>
        <v>0</v>
      </c>
      <c r="AJ158" s="29">
        <v>1</v>
      </c>
      <c r="AK158" s="14" t="str">
        <f t="shared" si="32"/>
        <v/>
      </c>
      <c r="AL158" s="17"/>
      <c r="AM158" s="8"/>
      <c r="AN158" s="8"/>
      <c r="AO158" s="14">
        <f t="shared" si="33"/>
        <v>0</v>
      </c>
      <c r="AP158" s="29"/>
      <c r="AQ158" s="14" t="str">
        <f t="shared" si="34"/>
        <v>[1287,0,0];</v>
      </c>
      <c r="AR158" s="17"/>
      <c r="AS158" s="8"/>
      <c r="AT158" s="8"/>
      <c r="AU158" s="14">
        <v>0</v>
      </c>
      <c r="AV158" s="29">
        <v>1</v>
      </c>
      <c r="AW158" s="14" t="str">
        <f t="shared" si="30"/>
        <v/>
      </c>
      <c r="AX158" s="17"/>
      <c r="AY158" s="3"/>
      <c r="AZ158" s="3"/>
      <c r="BA158" s="3">
        <v>1</v>
      </c>
      <c r="BB158" s="3"/>
      <c r="BC158" s="3"/>
    </row>
    <row r="159" s="1" customFormat="1" ht="27" spans="1:55">
      <c r="A159" s="18" t="s">
        <v>22</v>
      </c>
      <c r="B159" s="14">
        <v>1288</v>
      </c>
      <c r="C159" s="16" t="s">
        <v>329</v>
      </c>
      <c r="D159" s="15">
        <v>100288</v>
      </c>
      <c r="E159" s="17"/>
      <c r="F159" s="17"/>
      <c r="G159" s="17"/>
      <c r="H159" s="17"/>
      <c r="I159" s="29"/>
      <c r="J159" s="29"/>
      <c r="K159" s="29"/>
      <c r="L159" s="17"/>
      <c r="M159" s="17"/>
      <c r="N159" s="29"/>
      <c r="O159" s="29"/>
      <c r="P159" s="29"/>
      <c r="Q159" s="29">
        <v>110</v>
      </c>
      <c r="R159" s="38" t="s">
        <v>68</v>
      </c>
      <c r="S159" s="38" t="s">
        <v>68</v>
      </c>
      <c r="T159" s="17"/>
      <c r="U159" s="17" t="s">
        <v>162</v>
      </c>
      <c r="V159" s="17">
        <v>0</v>
      </c>
      <c r="W159" s="17"/>
      <c r="X159" s="17"/>
      <c r="Y159" s="53"/>
      <c r="Z159" s="16"/>
      <c r="AA159" s="54"/>
      <c r="AB159" s="17">
        <v>0</v>
      </c>
      <c r="AC159" s="55" t="s">
        <v>324</v>
      </c>
      <c r="AD159" s="55" t="s">
        <v>325</v>
      </c>
      <c r="AE159" s="55" t="s">
        <v>326</v>
      </c>
      <c r="AF159" s="55" t="s">
        <v>327</v>
      </c>
      <c r="AG159" s="55" t="s">
        <v>328</v>
      </c>
      <c r="AH159" s="55"/>
      <c r="AI159" s="14">
        <f t="shared" si="31"/>
        <v>0</v>
      </c>
      <c r="AJ159" s="29">
        <v>1</v>
      </c>
      <c r="AK159" s="14" t="str">
        <f t="shared" si="32"/>
        <v/>
      </c>
      <c r="AL159" s="17"/>
      <c r="AM159" s="8"/>
      <c r="AN159" s="8"/>
      <c r="AO159" s="14">
        <f t="shared" si="33"/>
        <v>0</v>
      </c>
      <c r="AP159" s="29"/>
      <c r="AQ159" s="14" t="str">
        <f t="shared" si="34"/>
        <v>[1288,0,0];</v>
      </c>
      <c r="AR159" s="17"/>
      <c r="AS159" s="8"/>
      <c r="AT159" s="8"/>
      <c r="AU159" s="14">
        <v>0</v>
      </c>
      <c r="AV159" s="29">
        <v>1</v>
      </c>
      <c r="AW159" s="14" t="str">
        <f t="shared" si="30"/>
        <v/>
      </c>
      <c r="AX159" s="17"/>
      <c r="AY159" s="3"/>
      <c r="AZ159" s="3"/>
      <c r="BA159" s="3">
        <v>1</v>
      </c>
      <c r="BB159" s="3"/>
      <c r="BC159" s="3"/>
    </row>
    <row r="160" s="1" customFormat="1" ht="27" spans="1:55">
      <c r="A160" s="18" t="s">
        <v>22</v>
      </c>
      <c r="B160" s="14">
        <v>1289</v>
      </c>
      <c r="C160" s="16" t="s">
        <v>330</v>
      </c>
      <c r="D160" s="15">
        <v>100289</v>
      </c>
      <c r="E160" s="17"/>
      <c r="F160" s="17"/>
      <c r="G160" s="17"/>
      <c r="H160" s="17"/>
      <c r="I160" s="29"/>
      <c r="J160" s="29"/>
      <c r="K160" s="29"/>
      <c r="L160" s="17"/>
      <c r="M160" s="17"/>
      <c r="N160" s="29"/>
      <c r="O160" s="29"/>
      <c r="P160" s="29"/>
      <c r="Q160" s="29">
        <v>110</v>
      </c>
      <c r="R160" s="38" t="s">
        <v>68</v>
      </c>
      <c r="S160" s="38" t="s">
        <v>68</v>
      </c>
      <c r="T160" s="17"/>
      <c r="U160" s="17" t="s">
        <v>162</v>
      </c>
      <c r="V160" s="17">
        <v>0</v>
      </c>
      <c r="W160" s="17"/>
      <c r="X160" s="17"/>
      <c r="Y160" s="53"/>
      <c r="Z160" s="16"/>
      <c r="AA160" s="54"/>
      <c r="AB160" s="17">
        <v>0</v>
      </c>
      <c r="AC160" s="55" t="s">
        <v>324</v>
      </c>
      <c r="AD160" s="55" t="s">
        <v>325</v>
      </c>
      <c r="AE160" s="55" t="s">
        <v>326</v>
      </c>
      <c r="AF160" s="55" t="s">
        <v>327</v>
      </c>
      <c r="AG160" s="55" t="s">
        <v>328</v>
      </c>
      <c r="AH160" s="55"/>
      <c r="AI160" s="14">
        <f t="shared" si="31"/>
        <v>0</v>
      </c>
      <c r="AJ160" s="29">
        <v>1</v>
      </c>
      <c r="AK160" s="14" t="str">
        <f t="shared" si="32"/>
        <v/>
      </c>
      <c r="AL160" s="17"/>
      <c r="AM160" s="8"/>
      <c r="AN160" s="8"/>
      <c r="AO160" s="14">
        <f t="shared" si="33"/>
        <v>0</v>
      </c>
      <c r="AP160" s="29"/>
      <c r="AQ160" s="14" t="str">
        <f t="shared" si="34"/>
        <v>[1289,0,0];</v>
      </c>
      <c r="AR160" s="17"/>
      <c r="AS160" s="8"/>
      <c r="AT160" s="8"/>
      <c r="AU160" s="14">
        <v>0</v>
      </c>
      <c r="AV160" s="29">
        <v>1</v>
      </c>
      <c r="AW160" s="14" t="str">
        <f t="shared" si="30"/>
        <v/>
      </c>
      <c r="AX160" s="17"/>
      <c r="AY160" s="3"/>
      <c r="AZ160" s="3"/>
      <c r="BA160" s="3">
        <v>1</v>
      </c>
      <c r="BB160" s="3"/>
      <c r="BC160" s="3"/>
    </row>
    <row r="161" s="1" customFormat="1" ht="27" spans="1:55">
      <c r="A161" s="18" t="s">
        <v>22</v>
      </c>
      <c r="B161" s="14">
        <v>1290</v>
      </c>
      <c r="C161" s="16" t="s">
        <v>331</v>
      </c>
      <c r="D161" s="15">
        <v>100290</v>
      </c>
      <c r="E161" s="17"/>
      <c r="F161" s="17"/>
      <c r="G161" s="17"/>
      <c r="H161" s="17"/>
      <c r="I161" s="29"/>
      <c r="J161" s="29"/>
      <c r="K161" s="29"/>
      <c r="L161" s="17"/>
      <c r="M161" s="17"/>
      <c r="N161" s="29"/>
      <c r="O161" s="29"/>
      <c r="P161" s="29"/>
      <c r="Q161" s="29">
        <v>110</v>
      </c>
      <c r="R161" s="38" t="s">
        <v>68</v>
      </c>
      <c r="S161" s="38" t="s">
        <v>68</v>
      </c>
      <c r="T161" s="17"/>
      <c r="U161" s="17" t="s">
        <v>162</v>
      </c>
      <c r="V161" s="17">
        <v>0</v>
      </c>
      <c r="W161" s="17"/>
      <c r="X161" s="17"/>
      <c r="Y161" s="53"/>
      <c r="Z161" s="16"/>
      <c r="AA161" s="54"/>
      <c r="AB161" s="17">
        <v>0</v>
      </c>
      <c r="AC161" s="55" t="s">
        <v>324</v>
      </c>
      <c r="AD161" s="55" t="s">
        <v>325</v>
      </c>
      <c r="AE161" s="55" t="s">
        <v>326</v>
      </c>
      <c r="AF161" s="55" t="s">
        <v>327</v>
      </c>
      <c r="AG161" s="55" t="s">
        <v>328</v>
      </c>
      <c r="AH161" s="55"/>
      <c r="AI161" s="14">
        <f t="shared" si="31"/>
        <v>0</v>
      </c>
      <c r="AJ161" s="29">
        <v>1</v>
      </c>
      <c r="AK161" s="14" t="str">
        <f t="shared" si="32"/>
        <v/>
      </c>
      <c r="AL161" s="17"/>
      <c r="AM161" s="8"/>
      <c r="AN161" s="8"/>
      <c r="AO161" s="14">
        <f t="shared" si="33"/>
        <v>0</v>
      </c>
      <c r="AP161" s="29"/>
      <c r="AQ161" s="14" t="str">
        <f t="shared" si="34"/>
        <v>[1290,0,0];</v>
      </c>
      <c r="AR161" s="17"/>
      <c r="AS161" s="8"/>
      <c r="AT161" s="8"/>
      <c r="AU161" s="14">
        <v>0</v>
      </c>
      <c r="AV161" s="29">
        <v>1</v>
      </c>
      <c r="AW161" s="14" t="str">
        <f t="shared" si="30"/>
        <v/>
      </c>
      <c r="AX161" s="17"/>
      <c r="AY161" s="3"/>
      <c r="AZ161" s="3"/>
      <c r="BA161" s="3"/>
      <c r="BB161" s="3"/>
      <c r="BC161" s="3"/>
    </row>
    <row r="162" s="1" customFormat="1" ht="27" spans="1:55">
      <c r="A162" s="18" t="s">
        <v>22</v>
      </c>
      <c r="B162" s="14">
        <v>1291</v>
      </c>
      <c r="C162" s="16" t="s">
        <v>332</v>
      </c>
      <c r="D162" s="15">
        <v>100291</v>
      </c>
      <c r="E162" s="17"/>
      <c r="F162" s="17"/>
      <c r="G162" s="17"/>
      <c r="H162" s="17"/>
      <c r="I162" s="29"/>
      <c r="J162" s="29"/>
      <c r="K162" s="29"/>
      <c r="L162" s="17"/>
      <c r="M162" s="17"/>
      <c r="N162" s="29"/>
      <c r="O162" s="29"/>
      <c r="P162" s="29"/>
      <c r="Q162" s="29">
        <v>110</v>
      </c>
      <c r="R162" s="38" t="s">
        <v>68</v>
      </c>
      <c r="S162" s="38" t="s">
        <v>68</v>
      </c>
      <c r="T162" s="17"/>
      <c r="U162" s="17" t="s">
        <v>162</v>
      </c>
      <c r="V162" s="17">
        <v>0</v>
      </c>
      <c r="W162" s="17"/>
      <c r="X162" s="17"/>
      <c r="Y162" s="53"/>
      <c r="Z162" s="16"/>
      <c r="AA162" s="54"/>
      <c r="AB162" s="17">
        <v>0</v>
      </c>
      <c r="AC162" s="55" t="s">
        <v>324</v>
      </c>
      <c r="AD162" s="55" t="s">
        <v>325</v>
      </c>
      <c r="AE162" s="55" t="s">
        <v>326</v>
      </c>
      <c r="AF162" s="55" t="s">
        <v>327</v>
      </c>
      <c r="AG162" s="55" t="s">
        <v>328</v>
      </c>
      <c r="AH162" s="55"/>
      <c r="AI162" s="14">
        <f t="shared" si="31"/>
        <v>0</v>
      </c>
      <c r="AJ162" s="29">
        <v>1</v>
      </c>
      <c r="AK162" s="14" t="str">
        <f t="shared" si="32"/>
        <v/>
      </c>
      <c r="AL162" s="17"/>
      <c r="AM162" s="8"/>
      <c r="AN162" s="8"/>
      <c r="AO162" s="14">
        <f t="shared" si="33"/>
        <v>0</v>
      </c>
      <c r="AP162" s="29"/>
      <c r="AQ162" s="14" t="str">
        <f t="shared" si="34"/>
        <v>[1291,0,0];</v>
      </c>
      <c r="AR162" s="17"/>
      <c r="AS162" s="8"/>
      <c r="AT162" s="8"/>
      <c r="AU162" s="14">
        <v>0</v>
      </c>
      <c r="AV162" s="29">
        <v>1</v>
      </c>
      <c r="AW162" s="14" t="str">
        <f t="shared" si="30"/>
        <v/>
      </c>
      <c r="AX162" s="17"/>
      <c r="AY162" s="3"/>
      <c r="AZ162" s="3"/>
      <c r="BA162" s="3"/>
      <c r="BB162" s="3"/>
      <c r="BC162" s="3"/>
    </row>
    <row r="163" s="1" customFormat="1" spans="1:55">
      <c r="A163" s="18" t="s">
        <v>22</v>
      </c>
      <c r="B163" s="14">
        <v>1292</v>
      </c>
      <c r="C163" s="19" t="s">
        <v>275</v>
      </c>
      <c r="D163" s="15">
        <v>100292</v>
      </c>
      <c r="E163" s="20"/>
      <c r="F163" s="20"/>
      <c r="G163" s="20"/>
      <c r="H163" s="20"/>
      <c r="I163" s="30"/>
      <c r="J163" s="29"/>
      <c r="K163" s="29"/>
      <c r="L163" s="20"/>
      <c r="M163" s="20"/>
      <c r="N163" s="30"/>
      <c r="O163" s="30"/>
      <c r="P163" s="30"/>
      <c r="Q163" s="30">
        <v>110</v>
      </c>
      <c r="R163" s="39" t="s">
        <v>68</v>
      </c>
      <c r="S163" s="39" t="s">
        <v>68</v>
      </c>
      <c r="T163" s="20"/>
      <c r="U163" s="20" t="s">
        <v>162</v>
      </c>
      <c r="V163" s="20">
        <v>0</v>
      </c>
      <c r="W163" s="20"/>
      <c r="X163" s="20"/>
      <c r="Y163" s="57"/>
      <c r="Z163" s="19"/>
      <c r="AA163" s="58"/>
      <c r="AB163" s="59">
        <v>0</v>
      </c>
      <c r="AC163" s="59" t="s">
        <v>276</v>
      </c>
      <c r="AD163" s="20" t="s">
        <v>277</v>
      </c>
      <c r="AE163" s="20"/>
      <c r="AF163" s="20"/>
      <c r="AG163" s="20"/>
      <c r="AH163" s="20"/>
      <c r="AI163" s="14">
        <f t="shared" si="31"/>
        <v>0</v>
      </c>
      <c r="AJ163" s="30">
        <v>1</v>
      </c>
      <c r="AK163" s="14" t="str">
        <f t="shared" si="32"/>
        <v/>
      </c>
      <c r="AL163" s="20"/>
      <c r="AO163" s="14">
        <f t="shared" si="33"/>
        <v>0</v>
      </c>
      <c r="AP163" s="30">
        <v>1</v>
      </c>
      <c r="AQ163" s="14" t="str">
        <f t="shared" si="34"/>
        <v/>
      </c>
      <c r="AR163" s="20"/>
      <c r="AU163" s="14">
        <v>0</v>
      </c>
      <c r="AV163" s="30">
        <v>1</v>
      </c>
      <c r="AW163" s="14" t="str">
        <f t="shared" si="30"/>
        <v/>
      </c>
      <c r="AX163" s="20"/>
      <c r="AY163" s="3"/>
      <c r="AZ163" s="3"/>
      <c r="BA163" s="3"/>
      <c r="BB163" s="3"/>
      <c r="BC163" s="3"/>
    </row>
    <row r="164" ht="40.5" spans="2:53">
      <c r="B164" s="14">
        <v>1293</v>
      </c>
      <c r="C164" s="16" t="s">
        <v>333</v>
      </c>
      <c r="D164" s="15">
        <v>100293</v>
      </c>
      <c r="E164" s="17"/>
      <c r="F164" s="17"/>
      <c r="G164" s="17"/>
      <c r="H164" s="17"/>
      <c r="I164" s="29"/>
      <c r="J164" s="29"/>
      <c r="K164" s="29"/>
      <c r="L164" s="17"/>
      <c r="M164" s="17">
        <v>1</v>
      </c>
      <c r="N164" s="29"/>
      <c r="O164" s="29"/>
      <c r="P164" s="29"/>
      <c r="Q164" s="29"/>
      <c r="R164" s="38" t="s">
        <v>68</v>
      </c>
      <c r="S164" s="38" t="s">
        <v>68</v>
      </c>
      <c r="T164" s="17"/>
      <c r="U164" s="17" t="s">
        <v>69</v>
      </c>
      <c r="V164" s="17"/>
      <c r="W164" s="17">
        <v>1</v>
      </c>
      <c r="X164" s="17"/>
      <c r="Y164" s="53"/>
      <c r="Z164" s="16"/>
      <c r="AA164" s="54"/>
      <c r="AB164" s="55" t="s">
        <v>70</v>
      </c>
      <c r="AC164" s="55" t="s">
        <v>71</v>
      </c>
      <c r="AD164" s="56"/>
      <c r="AE164" s="56"/>
      <c r="AF164" s="17"/>
      <c r="AG164" s="17"/>
      <c r="AH164" s="17"/>
      <c r="AI164" s="14">
        <f t="shared" si="31"/>
        <v>0</v>
      </c>
      <c r="AJ164" s="29">
        <v>1</v>
      </c>
      <c r="AK164" s="14" t="str">
        <f t="shared" si="32"/>
        <v/>
      </c>
      <c r="AL164" s="56"/>
      <c r="AO164" s="14">
        <f t="shared" si="33"/>
        <v>0</v>
      </c>
      <c r="AP164" s="29"/>
      <c r="AQ164" s="14" t="str">
        <f t="shared" si="34"/>
        <v>[1293,0,0];</v>
      </c>
      <c r="AR164" s="56"/>
      <c r="AU164" s="14">
        <v>0</v>
      </c>
      <c r="AV164" s="29"/>
      <c r="AW164" s="14" t="str">
        <f t="shared" si="30"/>
        <v>[1293,0,0];</v>
      </c>
      <c r="AX164" s="56"/>
      <c r="BA164" s="8">
        <v>1</v>
      </c>
    </row>
    <row r="165" spans="1:53">
      <c r="A165" s="18" t="s">
        <v>22</v>
      </c>
      <c r="B165" s="14">
        <v>1294</v>
      </c>
      <c r="C165" s="19" t="s">
        <v>334</v>
      </c>
      <c r="D165" s="15">
        <v>100294</v>
      </c>
      <c r="E165" s="20">
        <v>7</v>
      </c>
      <c r="F165" s="20"/>
      <c r="G165" s="20">
        <v>1</v>
      </c>
      <c r="H165" s="20">
        <v>1</v>
      </c>
      <c r="I165" s="30"/>
      <c r="J165" s="30"/>
      <c r="K165" s="30"/>
      <c r="L165" s="20"/>
      <c r="M165" s="20">
        <v>1</v>
      </c>
      <c r="N165" s="30"/>
      <c r="O165" s="30"/>
      <c r="P165" s="30"/>
      <c r="Q165" s="30"/>
      <c r="R165" s="39" t="s">
        <v>68</v>
      </c>
      <c r="S165" s="39" t="s">
        <v>68</v>
      </c>
      <c r="T165" s="20"/>
      <c r="U165" s="20" t="s">
        <v>69</v>
      </c>
      <c r="V165" s="20">
        <v>0</v>
      </c>
      <c r="W165" s="20"/>
      <c r="X165" s="20"/>
      <c r="Y165" s="57"/>
      <c r="Z165" s="19"/>
      <c r="AA165" s="58"/>
      <c r="AB165" s="59">
        <v>0</v>
      </c>
      <c r="AC165" s="59"/>
      <c r="AD165" s="60"/>
      <c r="AE165" s="60"/>
      <c r="AF165" s="20"/>
      <c r="AG165" s="20"/>
      <c r="AH165" s="20"/>
      <c r="AI165" s="14">
        <f t="shared" si="31"/>
        <v>0</v>
      </c>
      <c r="AJ165" s="30">
        <v>1</v>
      </c>
      <c r="AK165" s="14" t="str">
        <f t="shared" si="32"/>
        <v/>
      </c>
      <c r="AL165" s="60"/>
      <c r="AM165" s="1"/>
      <c r="AN165" s="1"/>
      <c r="AO165" s="14">
        <f t="shared" si="33"/>
        <v>0</v>
      </c>
      <c r="AP165" s="30">
        <v>1</v>
      </c>
      <c r="AQ165" s="14" t="str">
        <f t="shared" si="34"/>
        <v/>
      </c>
      <c r="AR165" s="60"/>
      <c r="AS165" s="1"/>
      <c r="AT165" s="1"/>
      <c r="AU165" s="14">
        <v>0</v>
      </c>
      <c r="AV165" s="30">
        <v>1</v>
      </c>
      <c r="AW165" s="14" t="str">
        <f t="shared" si="30"/>
        <v/>
      </c>
      <c r="AX165" s="60"/>
      <c r="BA165" s="8">
        <v>1</v>
      </c>
    </row>
    <row r="166" spans="1:53">
      <c r="A166" s="18" t="s">
        <v>22</v>
      </c>
      <c r="B166" s="14">
        <v>1295</v>
      </c>
      <c r="C166" s="19" t="s">
        <v>335</v>
      </c>
      <c r="D166" s="15">
        <v>100295</v>
      </c>
      <c r="E166" s="20">
        <v>7</v>
      </c>
      <c r="F166" s="20"/>
      <c r="G166" s="20">
        <v>1</v>
      </c>
      <c r="H166" s="20">
        <v>1</v>
      </c>
      <c r="I166" s="30"/>
      <c r="J166" s="30"/>
      <c r="K166" s="30"/>
      <c r="L166" s="20"/>
      <c r="M166" s="20">
        <v>1</v>
      </c>
      <c r="N166" s="30"/>
      <c r="O166" s="30"/>
      <c r="P166" s="30"/>
      <c r="Q166" s="30"/>
      <c r="R166" s="39" t="s">
        <v>68</v>
      </c>
      <c r="S166" s="39" t="s">
        <v>68</v>
      </c>
      <c r="T166" s="20"/>
      <c r="U166" s="20" t="s">
        <v>69</v>
      </c>
      <c r="V166" s="20">
        <v>0</v>
      </c>
      <c r="W166" s="20"/>
      <c r="X166" s="20"/>
      <c r="Y166" s="57"/>
      <c r="Z166" s="19"/>
      <c r="AA166" s="58"/>
      <c r="AB166" s="59">
        <v>0</v>
      </c>
      <c r="AC166" s="59"/>
      <c r="AD166" s="60"/>
      <c r="AE166" s="60"/>
      <c r="AF166" s="20"/>
      <c r="AG166" s="20"/>
      <c r="AH166" s="20"/>
      <c r="AI166" s="14">
        <f t="shared" si="31"/>
        <v>0</v>
      </c>
      <c r="AJ166" s="30">
        <v>1</v>
      </c>
      <c r="AK166" s="14" t="str">
        <f t="shared" si="32"/>
        <v/>
      </c>
      <c r="AL166" s="60"/>
      <c r="AM166" s="1"/>
      <c r="AN166" s="1"/>
      <c r="AO166" s="14">
        <f t="shared" si="33"/>
        <v>0</v>
      </c>
      <c r="AP166" s="30">
        <v>1</v>
      </c>
      <c r="AQ166" s="14" t="str">
        <f t="shared" si="34"/>
        <v/>
      </c>
      <c r="AR166" s="60"/>
      <c r="AS166" s="1"/>
      <c r="AT166" s="1"/>
      <c r="AU166" s="14">
        <v>0</v>
      </c>
      <c r="AV166" s="30">
        <v>1</v>
      </c>
      <c r="AW166" s="14" t="str">
        <f t="shared" si="30"/>
        <v/>
      </c>
      <c r="AX166" s="60"/>
      <c r="BA166" s="8">
        <v>1</v>
      </c>
    </row>
    <row r="167" ht="27" spans="2:53">
      <c r="B167" s="14">
        <v>1296</v>
      </c>
      <c r="C167" s="16" t="s">
        <v>336</v>
      </c>
      <c r="D167" s="15">
        <v>100296</v>
      </c>
      <c r="E167" s="17"/>
      <c r="F167" s="17"/>
      <c r="G167" s="17"/>
      <c r="H167" s="17"/>
      <c r="I167" s="29"/>
      <c r="J167" s="29"/>
      <c r="K167" s="29"/>
      <c r="L167" s="17"/>
      <c r="M167" s="17"/>
      <c r="N167" s="29"/>
      <c r="O167" s="29"/>
      <c r="P167" s="29"/>
      <c r="Q167" s="29"/>
      <c r="R167" s="38" t="s">
        <v>68</v>
      </c>
      <c r="S167" s="38" t="s">
        <v>68</v>
      </c>
      <c r="T167" s="17"/>
      <c r="U167" s="17" t="s">
        <v>69</v>
      </c>
      <c r="V167" s="17"/>
      <c r="W167" s="17">
        <v>1</v>
      </c>
      <c r="X167" s="17"/>
      <c r="Y167" s="53"/>
      <c r="Z167" s="16"/>
      <c r="AA167" s="54"/>
      <c r="AB167" s="17" t="s">
        <v>78</v>
      </c>
      <c r="AC167" s="55" t="s">
        <v>79</v>
      </c>
      <c r="AD167" s="56"/>
      <c r="AE167" s="56"/>
      <c r="AF167" s="17"/>
      <c r="AG167" s="17"/>
      <c r="AH167" s="17"/>
      <c r="AI167" s="14">
        <f t="shared" si="31"/>
        <v>0</v>
      </c>
      <c r="AJ167" s="29">
        <v>1</v>
      </c>
      <c r="AK167" s="14" t="str">
        <f t="shared" si="32"/>
        <v/>
      </c>
      <c r="AL167" s="56"/>
      <c r="AO167" s="14">
        <f t="shared" si="33"/>
        <v>0</v>
      </c>
      <c r="AP167" s="29"/>
      <c r="AQ167" s="14" t="str">
        <f t="shared" si="34"/>
        <v>[1296,0,0];</v>
      </c>
      <c r="AR167" s="56"/>
      <c r="AU167" s="14">
        <v>0</v>
      </c>
      <c r="AV167" s="29"/>
      <c r="AW167" s="14" t="str">
        <f t="shared" si="30"/>
        <v>[1296,0,0];</v>
      </c>
      <c r="AX167" s="56"/>
      <c r="BA167" s="8">
        <v>1</v>
      </c>
    </row>
    <row r="168" ht="40.5" spans="2:53">
      <c r="B168" s="14">
        <v>1297</v>
      </c>
      <c r="C168" s="21" t="s">
        <v>337</v>
      </c>
      <c r="D168" s="15">
        <v>100297</v>
      </c>
      <c r="E168" s="17">
        <v>7</v>
      </c>
      <c r="F168" s="17"/>
      <c r="G168" s="17"/>
      <c r="H168" s="17"/>
      <c r="I168" s="29"/>
      <c r="J168" s="29" t="s">
        <v>316</v>
      </c>
      <c r="K168" s="29"/>
      <c r="L168" s="17"/>
      <c r="M168" s="17">
        <v>1</v>
      </c>
      <c r="N168" s="29"/>
      <c r="O168" s="29"/>
      <c r="P168" s="29"/>
      <c r="Q168" s="29">
        <v>110</v>
      </c>
      <c r="R168" s="38" t="s">
        <v>68</v>
      </c>
      <c r="S168" s="38" t="s">
        <v>68</v>
      </c>
      <c r="T168" s="17"/>
      <c r="U168" s="17" t="s">
        <v>69</v>
      </c>
      <c r="V168" s="17">
        <v>0</v>
      </c>
      <c r="W168" s="17"/>
      <c r="X168" s="17"/>
      <c r="Y168" s="53"/>
      <c r="Z168" s="16"/>
      <c r="AA168" s="54">
        <v>-1</v>
      </c>
      <c r="AB168" s="17" t="s">
        <v>338</v>
      </c>
      <c r="AC168" s="55" t="s">
        <v>339</v>
      </c>
      <c r="AD168" s="56"/>
      <c r="AE168" s="56"/>
      <c r="AF168" s="17"/>
      <c r="AG168" s="17"/>
      <c r="AH168" s="17"/>
      <c r="AI168" s="14">
        <f t="shared" si="31"/>
        <v>-1</v>
      </c>
      <c r="AJ168" s="29"/>
      <c r="AK168" s="14" t="str">
        <f t="shared" si="32"/>
        <v>[1297,-1,0];</v>
      </c>
      <c r="AL168" s="56"/>
      <c r="AO168" s="14">
        <f t="shared" si="33"/>
        <v>-1</v>
      </c>
      <c r="AP168" s="29"/>
      <c r="AQ168" s="14" t="str">
        <f t="shared" si="34"/>
        <v>[1297,-1,0];</v>
      </c>
      <c r="AR168" s="56"/>
      <c r="AU168" s="14">
        <v>-1</v>
      </c>
      <c r="AV168" s="29"/>
      <c r="AW168" s="14" t="str">
        <f t="shared" si="30"/>
        <v>[1297,-1,0];</v>
      </c>
      <c r="AX168" s="56"/>
      <c r="BA168" s="8">
        <v>1</v>
      </c>
    </row>
    <row r="169" spans="2:53">
      <c r="B169" s="14">
        <v>1298</v>
      </c>
      <c r="C169" s="16" t="s">
        <v>340</v>
      </c>
      <c r="D169" s="15">
        <v>100298</v>
      </c>
      <c r="E169" s="17"/>
      <c r="F169" s="17"/>
      <c r="G169" s="17"/>
      <c r="H169" s="17"/>
      <c r="I169" s="29"/>
      <c r="J169" s="29"/>
      <c r="K169" s="29"/>
      <c r="L169" s="17"/>
      <c r="M169" s="17"/>
      <c r="N169" s="29"/>
      <c r="O169" s="29"/>
      <c r="P169" s="29"/>
      <c r="Q169" s="29"/>
      <c r="R169" s="38" t="s">
        <v>68</v>
      </c>
      <c r="S169" s="38" t="s">
        <v>68</v>
      </c>
      <c r="T169" s="17"/>
      <c r="U169" s="17" t="s">
        <v>69</v>
      </c>
      <c r="V169" s="17">
        <v>0</v>
      </c>
      <c r="W169" s="17"/>
      <c r="X169" s="17"/>
      <c r="Y169" s="53"/>
      <c r="Z169" s="16"/>
      <c r="AA169" s="54"/>
      <c r="AB169" s="17">
        <v>0</v>
      </c>
      <c r="AC169" s="55">
        <v>1</v>
      </c>
      <c r="AD169" s="56"/>
      <c r="AE169" s="56"/>
      <c r="AF169" s="17"/>
      <c r="AG169" s="17"/>
      <c r="AH169" s="17"/>
      <c r="AI169" s="14">
        <f t="shared" si="31"/>
        <v>0</v>
      </c>
      <c r="AJ169" s="29">
        <v>1</v>
      </c>
      <c r="AK169" s="14" t="str">
        <f t="shared" si="32"/>
        <v/>
      </c>
      <c r="AL169" s="56"/>
      <c r="AO169" s="14">
        <f t="shared" si="33"/>
        <v>0</v>
      </c>
      <c r="AP169" s="29"/>
      <c r="AQ169" s="14" t="str">
        <f t="shared" si="34"/>
        <v>[1298,0,0];</v>
      </c>
      <c r="AR169" s="56"/>
      <c r="AU169" s="14">
        <v>0</v>
      </c>
      <c r="AV169" s="29">
        <v>1</v>
      </c>
      <c r="AW169" s="14" t="str">
        <f t="shared" si="30"/>
        <v/>
      </c>
      <c r="AX169" s="56"/>
      <c r="BA169" s="8">
        <v>1</v>
      </c>
    </row>
    <row r="170" spans="2:53">
      <c r="B170" s="14">
        <v>1299</v>
      </c>
      <c r="C170" s="24" t="s">
        <v>341</v>
      </c>
      <c r="D170" s="15">
        <v>100299</v>
      </c>
      <c r="E170" s="90">
        <v>7</v>
      </c>
      <c r="F170" s="90"/>
      <c r="G170" s="90"/>
      <c r="H170" s="90"/>
      <c r="I170" s="93"/>
      <c r="J170" s="29"/>
      <c r="K170" s="29"/>
      <c r="L170" s="26"/>
      <c r="M170" s="20">
        <v>1</v>
      </c>
      <c r="N170" s="32"/>
      <c r="O170" s="32"/>
      <c r="P170" s="32"/>
      <c r="Q170" s="32"/>
      <c r="R170" s="41" t="s">
        <v>68</v>
      </c>
      <c r="S170" s="41" t="s">
        <v>68</v>
      </c>
      <c r="T170" s="26"/>
      <c r="U170" s="26" t="s">
        <v>69</v>
      </c>
      <c r="V170" s="26">
        <v>0</v>
      </c>
      <c r="W170" s="26"/>
      <c r="X170" s="26"/>
      <c r="Y170" s="64"/>
      <c r="Z170" s="65"/>
      <c r="AA170" s="66"/>
      <c r="AB170" s="26">
        <v>0</v>
      </c>
      <c r="AC170" s="67"/>
      <c r="AD170" s="67"/>
      <c r="AE170" s="67"/>
      <c r="AF170" s="26"/>
      <c r="AG170" s="26"/>
      <c r="AH170" s="26"/>
      <c r="AI170" s="14">
        <f t="shared" si="31"/>
        <v>0</v>
      </c>
      <c r="AJ170" s="32"/>
      <c r="AK170" s="14" t="str">
        <f t="shared" si="32"/>
        <v>[1299,0,0];</v>
      </c>
      <c r="AL170" s="97"/>
      <c r="AM170" s="3"/>
      <c r="AN170" s="3"/>
      <c r="AO170" s="14">
        <f t="shared" si="33"/>
        <v>0</v>
      </c>
      <c r="AP170" s="32"/>
      <c r="AQ170" s="14" t="str">
        <f t="shared" si="34"/>
        <v>[1299,0,0];</v>
      </c>
      <c r="AR170" s="97"/>
      <c r="AS170" s="3"/>
      <c r="AT170" s="3"/>
      <c r="AU170" s="14">
        <v>0</v>
      </c>
      <c r="AV170" s="32"/>
      <c r="AW170" s="14" t="str">
        <f t="shared" si="30"/>
        <v>[1299,0,0];</v>
      </c>
      <c r="AX170" s="97"/>
      <c r="BA170" s="8">
        <v>1</v>
      </c>
    </row>
    <row r="171" spans="2:53">
      <c r="B171" s="14">
        <v>1300</v>
      </c>
      <c r="C171" s="24" t="s">
        <v>342</v>
      </c>
      <c r="D171" s="15">
        <v>100300</v>
      </c>
      <c r="E171" s="90">
        <v>7</v>
      </c>
      <c r="F171" s="90"/>
      <c r="G171" s="90"/>
      <c r="H171" s="90"/>
      <c r="I171" s="93"/>
      <c r="J171" s="29"/>
      <c r="K171" s="29"/>
      <c r="L171" s="26"/>
      <c r="M171" s="17">
        <v>1</v>
      </c>
      <c r="N171" s="32"/>
      <c r="O171" s="32"/>
      <c r="P171" s="32"/>
      <c r="Q171" s="32"/>
      <c r="R171" s="41" t="s">
        <v>68</v>
      </c>
      <c r="S171" s="41" t="s">
        <v>68</v>
      </c>
      <c r="T171" s="26"/>
      <c r="U171" s="26" t="s">
        <v>69</v>
      </c>
      <c r="V171" s="26">
        <v>0</v>
      </c>
      <c r="W171" s="26"/>
      <c r="X171" s="26"/>
      <c r="Y171" s="64"/>
      <c r="Z171" s="65"/>
      <c r="AA171" s="66"/>
      <c r="AB171" s="26">
        <v>0</v>
      </c>
      <c r="AC171" s="67"/>
      <c r="AD171" s="67"/>
      <c r="AE171" s="67"/>
      <c r="AF171" s="26"/>
      <c r="AG171" s="26"/>
      <c r="AH171" s="26"/>
      <c r="AI171" s="14">
        <f t="shared" si="31"/>
        <v>0</v>
      </c>
      <c r="AJ171" s="32"/>
      <c r="AK171" s="14" t="str">
        <f t="shared" si="32"/>
        <v>[1300,0,0];</v>
      </c>
      <c r="AL171" s="97"/>
      <c r="AM171" s="3"/>
      <c r="AN171" s="3"/>
      <c r="AO171" s="14">
        <f t="shared" si="33"/>
        <v>0</v>
      </c>
      <c r="AP171" s="32"/>
      <c r="AQ171" s="14" t="str">
        <f t="shared" si="34"/>
        <v>[1300,0,0];</v>
      </c>
      <c r="AR171" s="97"/>
      <c r="AS171" s="3"/>
      <c r="AT171" s="3"/>
      <c r="AU171" s="14">
        <v>0</v>
      </c>
      <c r="AV171" s="32"/>
      <c r="AW171" s="14" t="str">
        <f t="shared" si="30"/>
        <v>[1300,0,0];</v>
      </c>
      <c r="AX171" s="97"/>
      <c r="BA171" s="8">
        <v>1</v>
      </c>
    </row>
    <row r="172" spans="2:53">
      <c r="B172" s="14">
        <v>1301</v>
      </c>
      <c r="C172" s="24" t="s">
        <v>343</v>
      </c>
      <c r="D172" s="15">
        <v>100301</v>
      </c>
      <c r="E172" s="90">
        <v>7</v>
      </c>
      <c r="F172" s="90"/>
      <c r="G172" s="90"/>
      <c r="H172" s="90"/>
      <c r="I172" s="93"/>
      <c r="J172" s="29"/>
      <c r="K172" s="29"/>
      <c r="L172" s="26"/>
      <c r="M172" s="17">
        <v>1</v>
      </c>
      <c r="N172" s="32"/>
      <c r="O172" s="32"/>
      <c r="P172" s="32"/>
      <c r="Q172" s="32"/>
      <c r="R172" s="41" t="s">
        <v>68</v>
      </c>
      <c r="S172" s="41" t="s">
        <v>68</v>
      </c>
      <c r="T172" s="26"/>
      <c r="U172" s="26" t="s">
        <v>69</v>
      </c>
      <c r="V172" s="26">
        <v>0</v>
      </c>
      <c r="W172" s="26"/>
      <c r="X172" s="26"/>
      <c r="Y172" s="64"/>
      <c r="Z172" s="65"/>
      <c r="AA172" s="66"/>
      <c r="AB172" s="26">
        <v>0</v>
      </c>
      <c r="AC172" s="67"/>
      <c r="AD172" s="67"/>
      <c r="AE172" s="67"/>
      <c r="AF172" s="26"/>
      <c r="AG172" s="26"/>
      <c r="AH172" s="26"/>
      <c r="AI172" s="14">
        <f t="shared" si="31"/>
        <v>0</v>
      </c>
      <c r="AJ172" s="32"/>
      <c r="AK172" s="14" t="str">
        <f t="shared" si="32"/>
        <v>[1301,0,0];</v>
      </c>
      <c r="AL172" s="97"/>
      <c r="AM172" s="3"/>
      <c r="AN172" s="3"/>
      <c r="AO172" s="14">
        <f t="shared" si="33"/>
        <v>0</v>
      </c>
      <c r="AP172" s="32"/>
      <c r="AQ172" s="14" t="str">
        <f t="shared" si="34"/>
        <v>[1301,0,0];</v>
      </c>
      <c r="AR172" s="97"/>
      <c r="AS172" s="3"/>
      <c r="AT172" s="3"/>
      <c r="AU172" s="14">
        <v>0</v>
      </c>
      <c r="AV172" s="32"/>
      <c r="AW172" s="14" t="str">
        <f t="shared" si="30"/>
        <v>[1301,0,0];</v>
      </c>
      <c r="AX172" s="97"/>
      <c r="BA172" s="8">
        <v>1</v>
      </c>
    </row>
    <row r="173" spans="2:53">
      <c r="B173" s="14">
        <v>1302</v>
      </c>
      <c r="C173" s="24" t="s">
        <v>344</v>
      </c>
      <c r="D173" s="15">
        <v>100302</v>
      </c>
      <c r="E173" s="90"/>
      <c r="F173" s="90"/>
      <c r="G173" s="90"/>
      <c r="H173" s="90"/>
      <c r="I173" s="93"/>
      <c r="J173" s="29"/>
      <c r="K173" s="29"/>
      <c r="L173" s="26"/>
      <c r="M173" s="17"/>
      <c r="N173" s="32"/>
      <c r="O173" s="32"/>
      <c r="P173" s="32"/>
      <c r="Q173" s="32"/>
      <c r="R173" s="41" t="s">
        <v>68</v>
      </c>
      <c r="S173" s="41" t="s">
        <v>68</v>
      </c>
      <c r="T173" s="26"/>
      <c r="U173" s="26" t="s">
        <v>69</v>
      </c>
      <c r="V173" s="26">
        <v>0</v>
      </c>
      <c r="W173" s="26"/>
      <c r="X173" s="26"/>
      <c r="Y173" s="64"/>
      <c r="Z173" s="65"/>
      <c r="AA173" s="66"/>
      <c r="AB173" s="26" t="s">
        <v>313</v>
      </c>
      <c r="AC173" s="67" t="s">
        <v>247</v>
      </c>
      <c r="AD173" s="67"/>
      <c r="AE173" s="67"/>
      <c r="AF173" s="26"/>
      <c r="AG173" s="26"/>
      <c r="AH173" s="26"/>
      <c r="AI173" s="14">
        <f t="shared" si="31"/>
        <v>0</v>
      </c>
      <c r="AJ173" s="32"/>
      <c r="AK173" s="14" t="str">
        <f t="shared" si="32"/>
        <v>[1302,0,0];</v>
      </c>
      <c r="AL173" s="97"/>
      <c r="AM173" s="3"/>
      <c r="AN173" s="3"/>
      <c r="AO173" s="14">
        <f t="shared" si="33"/>
        <v>0</v>
      </c>
      <c r="AP173" s="32"/>
      <c r="AQ173" s="14" t="str">
        <f t="shared" si="34"/>
        <v>[1302,0,0];</v>
      </c>
      <c r="AR173" s="97"/>
      <c r="AS173" s="3"/>
      <c r="AT173" s="3"/>
      <c r="AU173" s="14">
        <v>0</v>
      </c>
      <c r="AV173" s="32"/>
      <c r="AW173" s="14" t="str">
        <f t="shared" si="30"/>
        <v>[1302,0,0];</v>
      </c>
      <c r="AX173" s="97"/>
      <c r="BA173" s="8">
        <v>1</v>
      </c>
    </row>
    <row r="174" spans="2:53">
      <c r="B174" s="14">
        <v>1303</v>
      </c>
      <c r="C174" s="24" t="s">
        <v>345</v>
      </c>
      <c r="D174" s="15">
        <v>100303</v>
      </c>
      <c r="E174" s="90"/>
      <c r="F174" s="90"/>
      <c r="G174" s="90"/>
      <c r="H174" s="90"/>
      <c r="I174" s="93"/>
      <c r="J174" s="29"/>
      <c r="K174" s="29"/>
      <c r="L174" s="26"/>
      <c r="M174" s="17"/>
      <c r="N174" s="32"/>
      <c r="O174" s="32"/>
      <c r="P174" s="32"/>
      <c r="Q174" s="32"/>
      <c r="R174" s="41" t="s">
        <v>68</v>
      </c>
      <c r="S174" s="41" t="s">
        <v>68</v>
      </c>
      <c r="T174" s="26"/>
      <c r="U174" s="26" t="s">
        <v>69</v>
      </c>
      <c r="V174" s="26">
        <v>0</v>
      </c>
      <c r="W174" s="26"/>
      <c r="X174" s="26"/>
      <c r="Y174" s="64"/>
      <c r="Z174" s="65"/>
      <c r="AA174" s="66"/>
      <c r="AB174" s="26" t="s">
        <v>313</v>
      </c>
      <c r="AC174" s="67" t="s">
        <v>247</v>
      </c>
      <c r="AD174" s="67"/>
      <c r="AE174" s="67"/>
      <c r="AF174" s="26"/>
      <c r="AG174" s="26"/>
      <c r="AH174" s="26"/>
      <c r="AI174" s="14">
        <f t="shared" si="31"/>
        <v>0</v>
      </c>
      <c r="AJ174" s="32"/>
      <c r="AK174" s="14" t="str">
        <f t="shared" si="32"/>
        <v>[1303,0,0];</v>
      </c>
      <c r="AL174" s="97"/>
      <c r="AM174" s="3"/>
      <c r="AN174" s="3"/>
      <c r="AO174" s="14">
        <f t="shared" si="33"/>
        <v>0</v>
      </c>
      <c r="AP174" s="32"/>
      <c r="AQ174" s="14" t="str">
        <f t="shared" si="34"/>
        <v>[1303,0,0];</v>
      </c>
      <c r="AR174" s="97"/>
      <c r="AS174" s="3"/>
      <c r="AT174" s="3"/>
      <c r="AU174" s="14">
        <v>0</v>
      </c>
      <c r="AV174" s="32"/>
      <c r="AW174" s="14" t="str">
        <f t="shared" si="30"/>
        <v>[1303,0,0];</v>
      </c>
      <c r="AX174" s="97"/>
      <c r="BA174" s="8">
        <v>1</v>
      </c>
    </row>
    <row r="175" spans="2:53">
      <c r="B175" s="14">
        <v>1304</v>
      </c>
      <c r="C175" s="24" t="s">
        <v>346</v>
      </c>
      <c r="D175" s="15">
        <v>100304</v>
      </c>
      <c r="E175" s="90"/>
      <c r="F175" s="90"/>
      <c r="G175" s="90"/>
      <c r="H175" s="90"/>
      <c r="I175" s="93"/>
      <c r="J175" s="29"/>
      <c r="K175" s="29"/>
      <c r="L175" s="26"/>
      <c r="M175" s="17"/>
      <c r="N175" s="32"/>
      <c r="O175" s="32"/>
      <c r="P175" s="32"/>
      <c r="Q175" s="32"/>
      <c r="R175" s="41" t="s">
        <v>68</v>
      </c>
      <c r="S175" s="41" t="s">
        <v>68</v>
      </c>
      <c r="T175" s="26"/>
      <c r="U175" s="26" t="s">
        <v>69</v>
      </c>
      <c r="V175" s="26">
        <v>0</v>
      </c>
      <c r="W175" s="26"/>
      <c r="X175" s="26"/>
      <c r="Y175" s="64"/>
      <c r="Z175" s="65"/>
      <c r="AA175" s="66"/>
      <c r="AB175" s="26" t="s">
        <v>313</v>
      </c>
      <c r="AC175" s="67" t="s">
        <v>247</v>
      </c>
      <c r="AD175" s="67"/>
      <c r="AE175" s="67"/>
      <c r="AF175" s="26"/>
      <c r="AG175" s="26"/>
      <c r="AH175" s="26"/>
      <c r="AI175" s="14">
        <f t="shared" si="31"/>
        <v>0</v>
      </c>
      <c r="AJ175" s="32"/>
      <c r="AK175" s="14" t="str">
        <f t="shared" si="32"/>
        <v>[1304,0,0];</v>
      </c>
      <c r="AL175" s="97"/>
      <c r="AM175" s="3"/>
      <c r="AN175" s="3"/>
      <c r="AO175" s="14">
        <f t="shared" si="33"/>
        <v>0</v>
      </c>
      <c r="AP175" s="32"/>
      <c r="AQ175" s="14" t="str">
        <f t="shared" si="34"/>
        <v>[1304,0,0];</v>
      </c>
      <c r="AR175" s="97"/>
      <c r="AS175" s="3"/>
      <c r="AT175" s="3"/>
      <c r="AU175" s="14">
        <v>0</v>
      </c>
      <c r="AV175" s="32"/>
      <c r="AW175" s="14" t="str">
        <f t="shared" si="30"/>
        <v>[1304,0,0];</v>
      </c>
      <c r="AX175" s="97"/>
      <c r="BA175" s="8">
        <v>1</v>
      </c>
    </row>
    <row r="176" spans="2:53">
      <c r="B176" s="14">
        <v>1305</v>
      </c>
      <c r="C176" s="24" t="s">
        <v>347</v>
      </c>
      <c r="D176" s="15">
        <v>100305</v>
      </c>
      <c r="E176" s="26"/>
      <c r="F176" s="26"/>
      <c r="G176" s="26"/>
      <c r="H176" s="26"/>
      <c r="I176" s="32"/>
      <c r="J176" s="32"/>
      <c r="K176" s="32"/>
      <c r="L176" s="26"/>
      <c r="M176" s="26"/>
      <c r="N176" s="32"/>
      <c r="O176" s="32" t="s">
        <v>348</v>
      </c>
      <c r="P176" s="32"/>
      <c r="Q176" s="32"/>
      <c r="R176" s="41" t="s">
        <v>68</v>
      </c>
      <c r="S176" s="41" t="s">
        <v>68</v>
      </c>
      <c r="T176" s="26"/>
      <c r="U176" s="26" t="s">
        <v>69</v>
      </c>
      <c r="V176" s="26">
        <v>0</v>
      </c>
      <c r="W176" s="26"/>
      <c r="X176" s="26"/>
      <c r="Y176" s="64"/>
      <c r="Z176" s="65"/>
      <c r="AA176" s="66"/>
      <c r="AB176" s="26">
        <v>0</v>
      </c>
      <c r="AC176" s="67" t="s">
        <v>349</v>
      </c>
      <c r="AD176" s="97"/>
      <c r="AE176" s="97"/>
      <c r="AF176" s="26"/>
      <c r="AG176" s="26"/>
      <c r="AH176" s="26"/>
      <c r="AI176" s="14">
        <f t="shared" si="31"/>
        <v>0</v>
      </c>
      <c r="AJ176" s="29"/>
      <c r="AK176" s="14" t="str">
        <f t="shared" si="32"/>
        <v>[1305,0,0];</v>
      </c>
      <c r="AL176" s="56"/>
      <c r="AO176" s="14">
        <f t="shared" si="33"/>
        <v>0</v>
      </c>
      <c r="AP176" s="29"/>
      <c r="AQ176" s="14" t="str">
        <f t="shared" si="34"/>
        <v>[1305,0,0];</v>
      </c>
      <c r="AR176" s="56"/>
      <c r="AU176" s="14">
        <v>0</v>
      </c>
      <c r="AV176" s="29">
        <v>1</v>
      </c>
      <c r="AW176" s="14" t="str">
        <f t="shared" si="30"/>
        <v/>
      </c>
      <c r="AX176" s="56"/>
      <c r="BA176" s="8">
        <v>1</v>
      </c>
    </row>
    <row r="177" ht="40.5" spans="2:53">
      <c r="B177" s="14">
        <v>1306</v>
      </c>
      <c r="C177" s="21" t="s">
        <v>350</v>
      </c>
      <c r="D177" s="15">
        <v>100306</v>
      </c>
      <c r="E177" s="17">
        <v>7</v>
      </c>
      <c r="F177" s="17"/>
      <c r="G177" s="17"/>
      <c r="H177" s="17"/>
      <c r="I177" s="29"/>
      <c r="J177" s="29" t="s">
        <v>316</v>
      </c>
      <c r="K177" s="29"/>
      <c r="L177" s="17"/>
      <c r="M177" s="17">
        <v>1</v>
      </c>
      <c r="N177" s="29"/>
      <c r="O177" s="29"/>
      <c r="P177" s="29"/>
      <c r="Q177" s="29">
        <v>110</v>
      </c>
      <c r="R177" s="38" t="s">
        <v>68</v>
      </c>
      <c r="S177" s="38" t="s">
        <v>68</v>
      </c>
      <c r="T177" s="17"/>
      <c r="U177" s="17" t="s">
        <v>69</v>
      </c>
      <c r="V177" s="17">
        <v>0</v>
      </c>
      <c r="W177" s="17"/>
      <c r="X177" s="17"/>
      <c r="Y177" s="53"/>
      <c r="Z177" s="16"/>
      <c r="AA177" s="54">
        <v>-1</v>
      </c>
      <c r="AB177" s="55" t="s">
        <v>351</v>
      </c>
      <c r="AC177" s="55" t="s">
        <v>339</v>
      </c>
      <c r="AD177" s="56"/>
      <c r="AE177" s="56"/>
      <c r="AF177" s="17"/>
      <c r="AG177" s="17"/>
      <c r="AH177" s="17"/>
      <c r="AI177" s="14">
        <f t="shared" si="31"/>
        <v>-1</v>
      </c>
      <c r="AJ177" s="29"/>
      <c r="AK177" s="14" t="str">
        <f t="shared" si="32"/>
        <v>[1306,-1,0];</v>
      </c>
      <c r="AL177" s="56"/>
      <c r="AO177" s="14">
        <f t="shared" si="33"/>
        <v>-1</v>
      </c>
      <c r="AP177" s="29"/>
      <c r="AQ177" s="14" t="str">
        <f t="shared" si="34"/>
        <v>[1306,-1,0];</v>
      </c>
      <c r="AR177" s="56"/>
      <c r="AU177" s="14">
        <v>-1</v>
      </c>
      <c r="AV177" s="29"/>
      <c r="AW177" s="14" t="str">
        <f t="shared" si="30"/>
        <v>[1306,-1,0];</v>
      </c>
      <c r="AX177" s="56"/>
      <c r="BA177" s="8">
        <v>1</v>
      </c>
    </row>
    <row r="178" spans="2:53">
      <c r="B178" s="14">
        <v>1307</v>
      </c>
      <c r="C178" s="16" t="s">
        <v>352</v>
      </c>
      <c r="D178" s="15">
        <v>100307</v>
      </c>
      <c r="E178" s="17"/>
      <c r="F178" s="17"/>
      <c r="G178" s="17"/>
      <c r="H178" s="17"/>
      <c r="I178" s="29"/>
      <c r="J178" s="29"/>
      <c r="K178" s="29"/>
      <c r="L178" s="17"/>
      <c r="M178" s="17"/>
      <c r="N178" s="29"/>
      <c r="O178" s="29"/>
      <c r="P178" s="29"/>
      <c r="Q178" s="29"/>
      <c r="R178" s="38" t="s">
        <v>68</v>
      </c>
      <c r="S178" s="38" t="s">
        <v>68</v>
      </c>
      <c r="T178" s="17"/>
      <c r="U178" s="17" t="s">
        <v>69</v>
      </c>
      <c r="V178" s="17">
        <v>0</v>
      </c>
      <c r="W178" s="17"/>
      <c r="X178" s="17"/>
      <c r="Y178" s="53"/>
      <c r="Z178" s="16"/>
      <c r="AA178" s="54"/>
      <c r="AB178" s="17">
        <v>0</v>
      </c>
      <c r="AC178" s="55">
        <v>1</v>
      </c>
      <c r="AD178" s="56"/>
      <c r="AE178" s="56"/>
      <c r="AF178" s="17"/>
      <c r="AG178" s="17"/>
      <c r="AH178" s="17"/>
      <c r="AI178" s="14">
        <f t="shared" si="31"/>
        <v>0</v>
      </c>
      <c r="AJ178" s="29">
        <v>1</v>
      </c>
      <c r="AK178" s="14" t="str">
        <f t="shared" si="32"/>
        <v/>
      </c>
      <c r="AL178" s="56"/>
      <c r="AO178" s="14">
        <f t="shared" si="33"/>
        <v>0</v>
      </c>
      <c r="AP178" s="29"/>
      <c r="AQ178" s="14" t="str">
        <f t="shared" si="34"/>
        <v>[1307,0,0];</v>
      </c>
      <c r="AR178" s="56"/>
      <c r="AU178" s="14">
        <v>0</v>
      </c>
      <c r="AV178" s="29"/>
      <c r="AW178" s="14" t="str">
        <f t="shared" si="30"/>
        <v>[1307,0,0];</v>
      </c>
      <c r="AX178" s="56"/>
      <c r="BA178" s="8">
        <v>1</v>
      </c>
    </row>
    <row r="179" spans="2:53">
      <c r="B179" s="14">
        <v>1308</v>
      </c>
      <c r="C179" s="16" t="s">
        <v>353</v>
      </c>
      <c r="D179" s="15">
        <v>100308</v>
      </c>
      <c r="E179" s="17"/>
      <c r="F179" s="17"/>
      <c r="G179" s="17"/>
      <c r="H179" s="17"/>
      <c r="I179" s="29"/>
      <c r="J179" s="29"/>
      <c r="K179" s="29"/>
      <c r="L179" s="17"/>
      <c r="M179" s="17"/>
      <c r="N179" s="29"/>
      <c r="O179" s="29">
        <v>4</v>
      </c>
      <c r="P179" s="29"/>
      <c r="Q179" s="29"/>
      <c r="R179" s="38" t="s">
        <v>68</v>
      </c>
      <c r="S179" s="38" t="s">
        <v>68</v>
      </c>
      <c r="T179" s="17"/>
      <c r="U179" s="17" t="s">
        <v>69</v>
      </c>
      <c r="V179" s="17">
        <v>0</v>
      </c>
      <c r="W179" s="17"/>
      <c r="X179" s="17"/>
      <c r="Y179" s="53"/>
      <c r="Z179" s="16"/>
      <c r="AA179" s="54">
        <v>-1</v>
      </c>
      <c r="AB179" s="55">
        <v>0</v>
      </c>
      <c r="AC179" s="55"/>
      <c r="AD179" s="55"/>
      <c r="AE179" s="55"/>
      <c r="AF179" s="17"/>
      <c r="AG179" s="17"/>
      <c r="AH179" s="17"/>
      <c r="AI179" s="14">
        <f t="shared" si="31"/>
        <v>-1</v>
      </c>
      <c r="AJ179" s="29">
        <v>1</v>
      </c>
      <c r="AK179" s="14" t="str">
        <f t="shared" si="32"/>
        <v/>
      </c>
      <c r="AL179" s="56"/>
      <c r="AO179" s="14">
        <f t="shared" si="33"/>
        <v>-1</v>
      </c>
      <c r="AP179" s="29"/>
      <c r="AQ179" s="14" t="str">
        <f t="shared" si="34"/>
        <v>[1308,-1,0];</v>
      </c>
      <c r="AR179" s="56"/>
      <c r="AU179" s="14">
        <v>-1</v>
      </c>
      <c r="AV179" s="29"/>
      <c r="AW179" s="14" t="str">
        <f t="shared" si="30"/>
        <v>[1308,-1,0];</v>
      </c>
      <c r="AX179" s="56"/>
      <c r="BA179" s="8">
        <v>1</v>
      </c>
    </row>
    <row r="180" ht="40.5" spans="2:53">
      <c r="B180" s="14">
        <v>1309</v>
      </c>
      <c r="C180" s="16" t="s">
        <v>354</v>
      </c>
      <c r="D180" s="15">
        <v>100309</v>
      </c>
      <c r="E180" s="17">
        <v>7</v>
      </c>
      <c r="F180" s="17"/>
      <c r="G180" s="17">
        <v>1</v>
      </c>
      <c r="H180" s="17">
        <v>1</v>
      </c>
      <c r="I180" s="29"/>
      <c r="J180" s="29"/>
      <c r="K180" s="29"/>
      <c r="L180" s="17"/>
      <c r="M180" s="17">
        <v>1</v>
      </c>
      <c r="N180" s="29"/>
      <c r="O180" s="29">
        <v>4</v>
      </c>
      <c r="P180" s="29"/>
      <c r="Q180" s="29"/>
      <c r="R180" s="38" t="s">
        <v>68</v>
      </c>
      <c r="S180" s="38" t="s">
        <v>68</v>
      </c>
      <c r="T180" s="17"/>
      <c r="U180" s="17" t="s">
        <v>69</v>
      </c>
      <c r="V180" s="17">
        <v>0</v>
      </c>
      <c r="W180" s="17"/>
      <c r="X180" s="17"/>
      <c r="Y180" s="53"/>
      <c r="Z180" s="16"/>
      <c r="AA180" s="54">
        <v>-1</v>
      </c>
      <c r="AB180" s="55" t="s">
        <v>355</v>
      </c>
      <c r="AC180" s="55"/>
      <c r="AD180" s="55"/>
      <c r="AE180" s="55"/>
      <c r="AF180" s="17"/>
      <c r="AG180" s="17"/>
      <c r="AH180" s="17"/>
      <c r="AI180" s="14">
        <f t="shared" si="31"/>
        <v>-1</v>
      </c>
      <c r="AJ180" s="29">
        <v>1</v>
      </c>
      <c r="AK180" s="14" t="str">
        <f t="shared" si="32"/>
        <v/>
      </c>
      <c r="AL180" s="56"/>
      <c r="AO180" s="14">
        <f t="shared" si="33"/>
        <v>-1</v>
      </c>
      <c r="AP180" s="29"/>
      <c r="AQ180" s="14" t="str">
        <f t="shared" si="34"/>
        <v>[1309,-1,0];</v>
      </c>
      <c r="AR180" s="56"/>
      <c r="AU180" s="14">
        <v>-1</v>
      </c>
      <c r="AV180" s="29"/>
      <c r="AW180" s="14" t="str">
        <f t="shared" si="30"/>
        <v>[1309,-1,0];</v>
      </c>
      <c r="AX180" s="56"/>
      <c r="BA180" s="8">
        <v>1</v>
      </c>
    </row>
    <row r="181" ht="40.5" spans="2:53">
      <c r="B181" s="14">
        <v>1310</v>
      </c>
      <c r="C181" s="16" t="s">
        <v>356</v>
      </c>
      <c r="D181" s="15">
        <v>100310</v>
      </c>
      <c r="E181" s="17">
        <v>7</v>
      </c>
      <c r="F181" s="17"/>
      <c r="G181" s="17">
        <v>1</v>
      </c>
      <c r="H181" s="17">
        <v>1</v>
      </c>
      <c r="I181" s="29"/>
      <c r="J181" s="29"/>
      <c r="K181" s="29"/>
      <c r="L181" s="17"/>
      <c r="M181" s="17">
        <v>1</v>
      </c>
      <c r="N181" s="29"/>
      <c r="O181" s="29">
        <v>3</v>
      </c>
      <c r="P181" s="29"/>
      <c r="Q181" s="29"/>
      <c r="R181" s="38" t="s">
        <v>68</v>
      </c>
      <c r="S181" s="38" t="s">
        <v>68</v>
      </c>
      <c r="T181" s="17"/>
      <c r="U181" s="17" t="s">
        <v>69</v>
      </c>
      <c r="V181" s="17">
        <v>0</v>
      </c>
      <c r="W181" s="17"/>
      <c r="X181" s="17"/>
      <c r="Y181" s="53"/>
      <c r="Z181" s="16"/>
      <c r="AA181" s="54">
        <v>-1</v>
      </c>
      <c r="AB181" s="55" t="s">
        <v>355</v>
      </c>
      <c r="AC181" s="55"/>
      <c r="AD181" s="55"/>
      <c r="AE181" s="55"/>
      <c r="AF181" s="17"/>
      <c r="AG181" s="17"/>
      <c r="AH181" s="17"/>
      <c r="AI181" s="14">
        <f t="shared" si="31"/>
        <v>-1</v>
      </c>
      <c r="AJ181" s="29">
        <v>1</v>
      </c>
      <c r="AK181" s="14" t="str">
        <f t="shared" si="32"/>
        <v/>
      </c>
      <c r="AL181" s="56"/>
      <c r="AO181" s="14">
        <f t="shared" si="33"/>
        <v>-1</v>
      </c>
      <c r="AP181" s="29"/>
      <c r="AQ181" s="14" t="str">
        <f t="shared" si="34"/>
        <v>[1310,-1,0];</v>
      </c>
      <c r="AR181" s="56"/>
      <c r="AU181" s="14">
        <v>-1</v>
      </c>
      <c r="AV181" s="29"/>
      <c r="AW181" s="14" t="str">
        <f t="shared" si="30"/>
        <v>[1310,-1,0];</v>
      </c>
      <c r="AX181" s="56"/>
      <c r="BA181" s="8">
        <v>1</v>
      </c>
    </row>
    <row r="182" ht="40.5" spans="2:53">
      <c r="B182" s="14">
        <v>1311</v>
      </c>
      <c r="C182" s="16" t="s">
        <v>357</v>
      </c>
      <c r="D182" s="15">
        <v>100311</v>
      </c>
      <c r="E182" s="17">
        <v>7</v>
      </c>
      <c r="F182" s="17"/>
      <c r="G182" s="17">
        <v>1</v>
      </c>
      <c r="H182" s="17">
        <v>1</v>
      </c>
      <c r="I182" s="29"/>
      <c r="J182" s="29"/>
      <c r="K182" s="29"/>
      <c r="L182" s="17"/>
      <c r="M182" s="17">
        <v>1</v>
      </c>
      <c r="N182" s="29"/>
      <c r="O182" s="29">
        <v>2</v>
      </c>
      <c r="P182" s="29"/>
      <c r="Q182" s="29"/>
      <c r="R182" s="38" t="s">
        <v>68</v>
      </c>
      <c r="S182" s="38" t="s">
        <v>68</v>
      </c>
      <c r="T182" s="17"/>
      <c r="U182" s="17" t="s">
        <v>69</v>
      </c>
      <c r="V182" s="17">
        <v>0</v>
      </c>
      <c r="W182" s="17"/>
      <c r="X182" s="17"/>
      <c r="Y182" s="53"/>
      <c r="Z182" s="16"/>
      <c r="AA182" s="54">
        <v>-1</v>
      </c>
      <c r="AB182" s="55" t="s">
        <v>355</v>
      </c>
      <c r="AC182" s="55"/>
      <c r="AD182" s="55"/>
      <c r="AE182" s="55"/>
      <c r="AF182" s="17"/>
      <c r="AG182" s="17"/>
      <c r="AH182" s="17"/>
      <c r="AI182" s="14">
        <f t="shared" si="31"/>
        <v>-1</v>
      </c>
      <c r="AJ182" s="29">
        <v>1</v>
      </c>
      <c r="AK182" s="14" t="str">
        <f t="shared" si="32"/>
        <v/>
      </c>
      <c r="AL182" s="56"/>
      <c r="AO182" s="14">
        <f t="shared" si="33"/>
        <v>-1</v>
      </c>
      <c r="AP182" s="29"/>
      <c r="AQ182" s="14" t="str">
        <f t="shared" si="34"/>
        <v>[1311,-1,0];</v>
      </c>
      <c r="AR182" s="56"/>
      <c r="AU182" s="14">
        <v>-1</v>
      </c>
      <c r="AV182" s="29"/>
      <c r="AW182" s="14" t="str">
        <f t="shared" si="30"/>
        <v>[1311,-1,0];</v>
      </c>
      <c r="AX182" s="56"/>
      <c r="BA182" s="8">
        <v>1</v>
      </c>
    </row>
    <row r="183" ht="40.5" spans="2:53">
      <c r="B183" s="14">
        <v>1312</v>
      </c>
      <c r="C183" s="16" t="s">
        <v>358</v>
      </c>
      <c r="D183" s="15">
        <v>100312</v>
      </c>
      <c r="E183" s="17">
        <v>7</v>
      </c>
      <c r="F183" s="17"/>
      <c r="G183" s="17">
        <v>1</v>
      </c>
      <c r="H183" s="17">
        <v>1</v>
      </c>
      <c r="I183" s="29"/>
      <c r="J183" s="29"/>
      <c r="K183" s="29"/>
      <c r="L183" s="17"/>
      <c r="M183" s="17">
        <v>1</v>
      </c>
      <c r="N183" s="29"/>
      <c r="O183" s="29">
        <v>1</v>
      </c>
      <c r="P183" s="29"/>
      <c r="Q183" s="29"/>
      <c r="R183" s="38" t="s">
        <v>68</v>
      </c>
      <c r="S183" s="38" t="s">
        <v>68</v>
      </c>
      <c r="T183" s="17"/>
      <c r="U183" s="17" t="s">
        <v>69</v>
      </c>
      <c r="V183" s="17">
        <v>0</v>
      </c>
      <c r="W183" s="17"/>
      <c r="X183" s="17"/>
      <c r="Y183" s="53"/>
      <c r="Z183" s="16"/>
      <c r="AA183" s="54">
        <v>-1</v>
      </c>
      <c r="AB183" s="55" t="s">
        <v>355</v>
      </c>
      <c r="AC183" s="55"/>
      <c r="AD183" s="55"/>
      <c r="AE183" s="55"/>
      <c r="AF183" s="17"/>
      <c r="AG183" s="17"/>
      <c r="AH183" s="17"/>
      <c r="AI183" s="14">
        <f t="shared" si="31"/>
        <v>-1</v>
      </c>
      <c r="AJ183" s="29">
        <v>1</v>
      </c>
      <c r="AK183" s="14" t="str">
        <f t="shared" si="32"/>
        <v/>
      </c>
      <c r="AL183" s="56"/>
      <c r="AO183" s="14">
        <f t="shared" si="33"/>
        <v>-1</v>
      </c>
      <c r="AP183" s="29"/>
      <c r="AQ183" s="14" t="str">
        <f t="shared" si="34"/>
        <v>[1312,-1,0];</v>
      </c>
      <c r="AR183" s="56"/>
      <c r="AU183" s="14">
        <v>-1</v>
      </c>
      <c r="AV183" s="29"/>
      <c r="AW183" s="14" t="str">
        <f t="shared" si="30"/>
        <v>[1312,-1,0];</v>
      </c>
      <c r="AX183" s="56"/>
      <c r="BA183" s="8">
        <v>1</v>
      </c>
    </row>
    <row r="184" ht="40.5" spans="2:53">
      <c r="B184" s="14">
        <v>1313</v>
      </c>
      <c r="C184" s="16" t="s">
        <v>359</v>
      </c>
      <c r="D184" s="15">
        <v>100313</v>
      </c>
      <c r="E184" s="17">
        <v>7</v>
      </c>
      <c r="F184" s="17"/>
      <c r="G184" s="17">
        <v>1</v>
      </c>
      <c r="H184" s="17">
        <v>1</v>
      </c>
      <c r="I184" s="29"/>
      <c r="J184" s="29"/>
      <c r="K184" s="29"/>
      <c r="L184" s="17"/>
      <c r="M184" s="17">
        <v>1</v>
      </c>
      <c r="N184" s="29"/>
      <c r="O184" s="29">
        <v>0</v>
      </c>
      <c r="P184" s="29"/>
      <c r="Q184" s="29"/>
      <c r="R184" s="38" t="s">
        <v>68</v>
      </c>
      <c r="S184" s="38" t="s">
        <v>68</v>
      </c>
      <c r="T184" s="17"/>
      <c r="U184" s="17" t="s">
        <v>69</v>
      </c>
      <c r="V184" s="17">
        <v>0</v>
      </c>
      <c r="W184" s="17"/>
      <c r="X184" s="17"/>
      <c r="Y184" s="53"/>
      <c r="Z184" s="16"/>
      <c r="AA184" s="54">
        <v>-1</v>
      </c>
      <c r="AB184" s="55" t="s">
        <v>355</v>
      </c>
      <c r="AC184" s="55"/>
      <c r="AD184" s="55"/>
      <c r="AE184" s="55"/>
      <c r="AF184" s="17"/>
      <c r="AG184" s="17"/>
      <c r="AH184" s="17"/>
      <c r="AI184" s="14">
        <f t="shared" si="31"/>
        <v>-1</v>
      </c>
      <c r="AJ184" s="29">
        <v>1</v>
      </c>
      <c r="AK184" s="14" t="str">
        <f t="shared" si="32"/>
        <v/>
      </c>
      <c r="AL184" s="56"/>
      <c r="AO184" s="14">
        <f t="shared" si="33"/>
        <v>-1</v>
      </c>
      <c r="AP184" s="29"/>
      <c r="AQ184" s="14" t="str">
        <f t="shared" si="34"/>
        <v>[1313,-1,0];</v>
      </c>
      <c r="AR184" s="56"/>
      <c r="AU184" s="14">
        <v>-1</v>
      </c>
      <c r="AV184" s="29"/>
      <c r="AW184" s="14" t="str">
        <f t="shared" si="30"/>
        <v>[1313,-1,0];</v>
      </c>
      <c r="AX184" s="56"/>
      <c r="BA184" s="8">
        <v>1</v>
      </c>
    </row>
    <row r="185" s="5" customFormat="1" ht="27" spans="1:53">
      <c r="A185" s="18" t="s">
        <v>22</v>
      </c>
      <c r="B185" s="14">
        <v>1314</v>
      </c>
      <c r="C185" s="16" t="s">
        <v>360</v>
      </c>
      <c r="D185" s="15">
        <v>100314</v>
      </c>
      <c r="E185" s="17"/>
      <c r="F185" s="17"/>
      <c r="G185" s="17"/>
      <c r="H185" s="17"/>
      <c r="I185" s="29"/>
      <c r="J185" s="29"/>
      <c r="K185" s="29"/>
      <c r="L185" s="17"/>
      <c r="M185" s="17"/>
      <c r="N185" s="29"/>
      <c r="O185" s="29"/>
      <c r="P185" s="29"/>
      <c r="Q185" s="29"/>
      <c r="R185" s="38" t="s">
        <v>68</v>
      </c>
      <c r="S185" s="38" t="s">
        <v>68</v>
      </c>
      <c r="T185" s="17"/>
      <c r="U185" s="17" t="s">
        <v>69</v>
      </c>
      <c r="V185" s="17">
        <v>0</v>
      </c>
      <c r="W185" s="17"/>
      <c r="X185" s="17"/>
      <c r="Y185" s="53"/>
      <c r="Z185" s="16"/>
      <c r="AA185" s="54"/>
      <c r="AB185" s="17">
        <v>0</v>
      </c>
      <c r="AC185" s="55" t="s">
        <v>361</v>
      </c>
      <c r="AD185" s="55"/>
      <c r="AE185" s="55"/>
      <c r="AF185" s="17"/>
      <c r="AG185" s="17"/>
      <c r="AH185" s="17"/>
      <c r="AI185" s="14">
        <f t="shared" si="31"/>
        <v>0</v>
      </c>
      <c r="AJ185" s="29">
        <v>1</v>
      </c>
      <c r="AK185" s="14" t="str">
        <f>IF(AJ185=1,"",IF(#REF!="","["&amp;B185&amp;","&amp;AI185&amp;",0]","["&amp;B185&amp;","&amp;AI185&amp;",0];"))</f>
        <v/>
      </c>
      <c r="AL185" s="56"/>
      <c r="AM185" s="8"/>
      <c r="AN185" s="8"/>
      <c r="AO185" s="14">
        <f t="shared" si="33"/>
        <v>0</v>
      </c>
      <c r="AP185" s="29"/>
      <c r="AQ185" s="14" t="e">
        <f>IF(AP185=1,"",IF(#REF!="","["&amp;B185&amp;","&amp;AO185&amp;",0]","["&amp;B185&amp;","&amp;AO185&amp;",0];"))</f>
        <v>#REF!</v>
      </c>
      <c r="AR185" s="56"/>
      <c r="AS185" s="8"/>
      <c r="AT185" s="8"/>
      <c r="AU185" s="14">
        <v>0</v>
      </c>
      <c r="AV185" s="29"/>
      <c r="AW185" s="14" t="e">
        <f>IF(AV185=1,"",IF(#REF!="","["&amp;B185&amp;","&amp;AU185&amp;",0]","["&amp;B185&amp;","&amp;AU185&amp;",0];"))</f>
        <v>#REF!</v>
      </c>
      <c r="AX185" s="56"/>
      <c r="BA185" s="5">
        <v>1</v>
      </c>
    </row>
    <row r="186" spans="1:53">
      <c r="A186" s="18" t="s">
        <v>22</v>
      </c>
      <c r="B186" s="14">
        <v>1326</v>
      </c>
      <c r="C186" s="91" t="s">
        <v>362</v>
      </c>
      <c r="D186" s="15">
        <v>100326</v>
      </c>
      <c r="E186" s="92"/>
      <c r="F186" s="92"/>
      <c r="G186" s="92"/>
      <c r="H186" s="92"/>
      <c r="I186" s="94"/>
      <c r="J186" s="94"/>
      <c r="K186" s="94"/>
      <c r="L186" s="92"/>
      <c r="M186" s="92"/>
      <c r="N186" s="94"/>
      <c r="O186" s="94"/>
      <c r="P186" s="94"/>
      <c r="Q186" s="94"/>
      <c r="R186" s="95" t="s">
        <v>68</v>
      </c>
      <c r="S186" s="95" t="s">
        <v>68</v>
      </c>
      <c r="T186" s="92"/>
      <c r="U186" s="92" t="s">
        <v>69</v>
      </c>
      <c r="V186" s="92">
        <v>0</v>
      </c>
      <c r="W186" s="92"/>
      <c r="X186" s="92"/>
      <c r="Y186" s="98"/>
      <c r="Z186" s="91"/>
      <c r="AA186" s="99"/>
      <c r="AB186" s="92">
        <v>0</v>
      </c>
      <c r="AC186" s="100">
        <v>1</v>
      </c>
      <c r="AD186" s="100"/>
      <c r="AE186" s="100"/>
      <c r="AF186" s="92"/>
      <c r="AG186" s="92"/>
      <c r="AH186" s="92"/>
      <c r="AI186" s="14">
        <f t="shared" ref="AI186:AI226" si="35">IF(AA186="",0,AA186)</f>
        <v>0</v>
      </c>
      <c r="AJ186" s="94">
        <v>1</v>
      </c>
      <c r="AK186" s="14" t="str">
        <f t="shared" ref="AK186:AK244" si="36">IF(AJ186=1,"",IF(B187="","["&amp;B186&amp;","&amp;AI186&amp;",0]","["&amp;B186&amp;","&amp;AI186&amp;",0];"))</f>
        <v/>
      </c>
      <c r="AL186" s="101"/>
      <c r="AM186" s="5"/>
      <c r="AN186" s="5"/>
      <c r="AO186" s="14">
        <f t="shared" ref="AO186:AO226" si="37">IF(AA186="",0,AA186)</f>
        <v>0</v>
      </c>
      <c r="AP186" s="94">
        <v>1</v>
      </c>
      <c r="AQ186" s="14" t="str">
        <f t="shared" ref="AQ186:AQ244" si="38">IF(AP186=1,"",IF(B187="","["&amp;B186&amp;","&amp;AO186&amp;",0]","["&amp;B186&amp;","&amp;AO186&amp;",0];"))</f>
        <v/>
      </c>
      <c r="AR186" s="101"/>
      <c r="AS186" s="5"/>
      <c r="AT186" s="5"/>
      <c r="AU186" s="14">
        <v>0</v>
      </c>
      <c r="AV186" s="94">
        <v>1</v>
      </c>
      <c r="AW186" s="14" t="str">
        <f t="shared" ref="AW186:AW243" si="39">IF(AV186=1,"",IF(B187="","["&amp;B186&amp;","&amp;AU186&amp;",0]","["&amp;B186&amp;","&amp;AU186&amp;",0];"))</f>
        <v/>
      </c>
      <c r="AX186" s="101"/>
      <c r="BA186" s="8">
        <v>1</v>
      </c>
    </row>
    <row r="187" ht="27" spans="2:53">
      <c r="B187" s="14">
        <v>1327</v>
      </c>
      <c r="C187" s="16" t="s">
        <v>363</v>
      </c>
      <c r="D187" s="15">
        <v>100327</v>
      </c>
      <c r="E187" s="17"/>
      <c r="F187" s="17"/>
      <c r="G187" s="17"/>
      <c r="H187" s="17"/>
      <c r="I187" s="29"/>
      <c r="J187" s="29"/>
      <c r="K187" s="29"/>
      <c r="L187" s="17"/>
      <c r="M187" s="17"/>
      <c r="N187" s="29"/>
      <c r="O187" s="29"/>
      <c r="P187" s="29"/>
      <c r="Q187" s="29"/>
      <c r="R187" s="38" t="s">
        <v>68</v>
      </c>
      <c r="S187" s="38" t="s">
        <v>68</v>
      </c>
      <c r="T187" s="17"/>
      <c r="U187" s="17" t="s">
        <v>69</v>
      </c>
      <c r="V187" s="17">
        <v>0</v>
      </c>
      <c r="W187" s="17"/>
      <c r="X187" s="17"/>
      <c r="Y187" s="53"/>
      <c r="Z187" s="16"/>
      <c r="AA187" s="54"/>
      <c r="AB187" s="17">
        <v>0</v>
      </c>
      <c r="AC187" s="55" t="s">
        <v>364</v>
      </c>
      <c r="AD187" s="55"/>
      <c r="AE187" s="55"/>
      <c r="AF187" s="17"/>
      <c r="AG187" s="17">
        <v>100</v>
      </c>
      <c r="AH187" s="17"/>
      <c r="AI187" s="14">
        <f t="shared" si="35"/>
        <v>0</v>
      </c>
      <c r="AJ187" s="29">
        <v>1</v>
      </c>
      <c r="AK187" s="14" t="str">
        <f t="shared" si="36"/>
        <v/>
      </c>
      <c r="AL187" s="56"/>
      <c r="AO187" s="14">
        <f t="shared" si="37"/>
        <v>0</v>
      </c>
      <c r="AP187" s="29"/>
      <c r="AQ187" s="14" t="str">
        <f t="shared" si="38"/>
        <v>[1327,0,0];</v>
      </c>
      <c r="AR187" s="56"/>
      <c r="AU187" s="14">
        <v>0</v>
      </c>
      <c r="AV187" s="29"/>
      <c r="AW187" s="14" t="str">
        <f t="shared" si="39"/>
        <v>[1327,0,0];</v>
      </c>
      <c r="AX187" s="56"/>
      <c r="BA187" s="8">
        <v>1</v>
      </c>
    </row>
    <row r="188" ht="27" spans="2:53">
      <c r="B188" s="14">
        <v>1328</v>
      </c>
      <c r="C188" s="16" t="s">
        <v>365</v>
      </c>
      <c r="D188" s="15">
        <v>100328</v>
      </c>
      <c r="E188" s="17"/>
      <c r="F188" s="17"/>
      <c r="G188" s="17"/>
      <c r="H188" s="17"/>
      <c r="I188" s="29"/>
      <c r="J188" s="29"/>
      <c r="K188" s="29"/>
      <c r="L188" s="17"/>
      <c r="M188" s="17"/>
      <c r="N188" s="29"/>
      <c r="O188" s="29"/>
      <c r="P188" s="29"/>
      <c r="Q188" s="29"/>
      <c r="R188" s="38" t="s">
        <v>68</v>
      </c>
      <c r="S188" s="38" t="s">
        <v>68</v>
      </c>
      <c r="T188" s="17"/>
      <c r="U188" s="17" t="s">
        <v>69</v>
      </c>
      <c r="V188" s="17">
        <v>0</v>
      </c>
      <c r="W188" s="17"/>
      <c r="X188" s="17"/>
      <c r="Y188" s="53"/>
      <c r="Z188" s="16"/>
      <c r="AA188" s="54">
        <v>-1</v>
      </c>
      <c r="AB188" s="17">
        <v>0</v>
      </c>
      <c r="AC188" s="55" t="s">
        <v>366</v>
      </c>
      <c r="AD188" s="55" t="s">
        <v>367</v>
      </c>
      <c r="AE188" s="55" t="s">
        <v>368</v>
      </c>
      <c r="AF188" s="55" t="s">
        <v>369</v>
      </c>
      <c r="AG188" s="17"/>
      <c r="AH188" s="17"/>
      <c r="AI188" s="14">
        <f t="shared" si="35"/>
        <v>-1</v>
      </c>
      <c r="AJ188" s="29">
        <v>1</v>
      </c>
      <c r="AK188" s="14" t="str">
        <f t="shared" si="36"/>
        <v/>
      </c>
      <c r="AL188" s="56"/>
      <c r="AO188" s="14">
        <f t="shared" si="37"/>
        <v>-1</v>
      </c>
      <c r="AP188" s="29"/>
      <c r="AQ188" s="14" t="str">
        <f t="shared" si="38"/>
        <v>[1328,-1,0];</v>
      </c>
      <c r="AR188" s="56"/>
      <c r="AU188" s="14">
        <v>-1</v>
      </c>
      <c r="AV188" s="29"/>
      <c r="AW188" s="14" t="str">
        <f t="shared" si="39"/>
        <v>[1328,-1,0];</v>
      </c>
      <c r="AX188" s="56"/>
      <c r="BA188" s="8">
        <v>1</v>
      </c>
    </row>
    <row r="189" ht="27" spans="2:53">
      <c r="B189" s="14">
        <v>1329</v>
      </c>
      <c r="C189" s="16" t="s">
        <v>370</v>
      </c>
      <c r="D189" s="15">
        <v>100329</v>
      </c>
      <c r="E189" s="17"/>
      <c r="F189" s="17"/>
      <c r="G189" s="17"/>
      <c r="H189" s="17"/>
      <c r="I189" s="29"/>
      <c r="J189" s="29"/>
      <c r="K189" s="29"/>
      <c r="L189" s="17"/>
      <c r="M189" s="17"/>
      <c r="N189" s="29"/>
      <c r="O189" s="29"/>
      <c r="P189" s="29"/>
      <c r="Q189" s="29"/>
      <c r="R189" s="38" t="s">
        <v>68</v>
      </c>
      <c r="S189" s="38" t="s">
        <v>68</v>
      </c>
      <c r="T189" s="17"/>
      <c r="U189" s="17" t="s">
        <v>69</v>
      </c>
      <c r="V189" s="17">
        <v>0</v>
      </c>
      <c r="W189" s="17"/>
      <c r="X189" s="17"/>
      <c r="Y189" s="53"/>
      <c r="Z189" s="16"/>
      <c r="AA189" s="54">
        <v>-1</v>
      </c>
      <c r="AB189" s="17">
        <v>0</v>
      </c>
      <c r="AC189" s="55" t="s">
        <v>366</v>
      </c>
      <c r="AD189" s="55" t="s">
        <v>367</v>
      </c>
      <c r="AE189" s="55" t="s">
        <v>368</v>
      </c>
      <c r="AF189" s="55" t="s">
        <v>369</v>
      </c>
      <c r="AG189" s="17"/>
      <c r="AH189" s="17"/>
      <c r="AI189" s="14">
        <f t="shared" si="35"/>
        <v>-1</v>
      </c>
      <c r="AJ189" s="29">
        <v>1</v>
      </c>
      <c r="AK189" s="14" t="str">
        <f t="shared" si="36"/>
        <v/>
      </c>
      <c r="AL189" s="56"/>
      <c r="AO189" s="14">
        <f t="shared" si="37"/>
        <v>-1</v>
      </c>
      <c r="AP189" s="29"/>
      <c r="AQ189" s="14" t="str">
        <f t="shared" si="38"/>
        <v>[1329,-1,0];</v>
      </c>
      <c r="AR189" s="56"/>
      <c r="AU189" s="14">
        <v>-1</v>
      </c>
      <c r="AV189" s="29"/>
      <c r="AW189" s="14" t="str">
        <f t="shared" si="39"/>
        <v>[1329,-1,0];</v>
      </c>
      <c r="AX189" s="56"/>
      <c r="BA189" s="8">
        <v>1</v>
      </c>
    </row>
    <row r="190" ht="27" spans="2:53">
      <c r="B190" s="14">
        <v>1330</v>
      </c>
      <c r="C190" s="16" t="s">
        <v>371</v>
      </c>
      <c r="D190" s="15">
        <v>100330</v>
      </c>
      <c r="E190" s="17"/>
      <c r="F190" s="17"/>
      <c r="G190" s="17"/>
      <c r="H190" s="17"/>
      <c r="I190" s="29"/>
      <c r="J190" s="29"/>
      <c r="K190" s="29"/>
      <c r="L190" s="17"/>
      <c r="M190" s="17"/>
      <c r="N190" s="29"/>
      <c r="O190" s="29"/>
      <c r="P190" s="29"/>
      <c r="Q190" s="29"/>
      <c r="R190" s="38" t="s">
        <v>68</v>
      </c>
      <c r="S190" s="38" t="s">
        <v>68</v>
      </c>
      <c r="T190" s="17"/>
      <c r="U190" s="17" t="s">
        <v>69</v>
      </c>
      <c r="V190" s="17">
        <v>0</v>
      </c>
      <c r="W190" s="17"/>
      <c r="X190" s="17"/>
      <c r="Y190" s="53"/>
      <c r="Z190" s="16"/>
      <c r="AA190" s="54">
        <v>-1</v>
      </c>
      <c r="AB190" s="17">
        <v>0</v>
      </c>
      <c r="AC190" s="55" t="s">
        <v>366</v>
      </c>
      <c r="AD190" s="55" t="s">
        <v>367</v>
      </c>
      <c r="AE190" s="55" t="s">
        <v>368</v>
      </c>
      <c r="AF190" s="55" t="s">
        <v>369</v>
      </c>
      <c r="AG190" s="17"/>
      <c r="AH190" s="17"/>
      <c r="AI190" s="14">
        <f t="shared" si="35"/>
        <v>-1</v>
      </c>
      <c r="AJ190" s="29">
        <v>1</v>
      </c>
      <c r="AK190" s="14" t="str">
        <f t="shared" si="36"/>
        <v/>
      </c>
      <c r="AL190" s="56"/>
      <c r="AO190" s="14">
        <f t="shared" si="37"/>
        <v>-1</v>
      </c>
      <c r="AP190" s="29"/>
      <c r="AQ190" s="14" t="str">
        <f t="shared" si="38"/>
        <v>[1330,-1,0];</v>
      </c>
      <c r="AR190" s="56"/>
      <c r="AU190" s="14">
        <v>-1</v>
      </c>
      <c r="AV190" s="29"/>
      <c r="AW190" s="14" t="str">
        <f t="shared" si="39"/>
        <v>[1330,-1,0];</v>
      </c>
      <c r="AX190" s="56"/>
      <c r="BA190" s="8">
        <v>1</v>
      </c>
    </row>
    <row r="191" ht="27" spans="2:53">
      <c r="B191" s="14">
        <v>1331</v>
      </c>
      <c r="C191" s="16" t="s">
        <v>372</v>
      </c>
      <c r="D191" s="15">
        <v>100331</v>
      </c>
      <c r="E191" s="17"/>
      <c r="F191" s="17"/>
      <c r="G191" s="17"/>
      <c r="H191" s="17"/>
      <c r="I191" s="29"/>
      <c r="J191" s="29"/>
      <c r="K191" s="29"/>
      <c r="L191" s="17"/>
      <c r="M191" s="17"/>
      <c r="N191" s="29"/>
      <c r="O191" s="29"/>
      <c r="P191" s="29"/>
      <c r="Q191" s="29"/>
      <c r="R191" s="38" t="s">
        <v>68</v>
      </c>
      <c r="S191" s="38" t="s">
        <v>68</v>
      </c>
      <c r="T191" s="17"/>
      <c r="U191" s="17" t="s">
        <v>69</v>
      </c>
      <c r="V191" s="17">
        <v>0</v>
      </c>
      <c r="W191" s="17"/>
      <c r="X191" s="17"/>
      <c r="Y191" s="53"/>
      <c r="Z191" s="16"/>
      <c r="AA191" s="54">
        <v>-1</v>
      </c>
      <c r="AB191" s="17">
        <v>0</v>
      </c>
      <c r="AC191" s="55" t="s">
        <v>366</v>
      </c>
      <c r="AD191" s="55" t="s">
        <v>367</v>
      </c>
      <c r="AE191" s="55" t="s">
        <v>368</v>
      </c>
      <c r="AF191" s="55" t="s">
        <v>369</v>
      </c>
      <c r="AG191" s="17"/>
      <c r="AH191" s="17"/>
      <c r="AI191" s="14">
        <f t="shared" si="35"/>
        <v>-1</v>
      </c>
      <c r="AJ191" s="29">
        <v>1</v>
      </c>
      <c r="AK191" s="14" t="str">
        <f t="shared" si="36"/>
        <v/>
      </c>
      <c r="AL191" s="56"/>
      <c r="AO191" s="14">
        <f t="shared" si="37"/>
        <v>-1</v>
      </c>
      <c r="AP191" s="29"/>
      <c r="AQ191" s="14" t="str">
        <f t="shared" si="38"/>
        <v>[1331,-1,0];</v>
      </c>
      <c r="AR191" s="56"/>
      <c r="AU191" s="14">
        <v>-1</v>
      </c>
      <c r="AV191" s="29"/>
      <c r="AW191" s="14" t="str">
        <f t="shared" si="39"/>
        <v>[1331,-1,0];</v>
      </c>
      <c r="AX191" s="56"/>
      <c r="BA191" s="8">
        <v>1</v>
      </c>
    </row>
    <row r="192" spans="2:53">
      <c r="B192" s="14">
        <v>1332</v>
      </c>
      <c r="C192" s="16" t="s">
        <v>373</v>
      </c>
      <c r="D192" s="15">
        <v>100332</v>
      </c>
      <c r="E192" s="17"/>
      <c r="F192" s="17"/>
      <c r="G192" s="17"/>
      <c r="H192" s="17"/>
      <c r="I192" s="29"/>
      <c r="J192" s="29"/>
      <c r="K192" s="29"/>
      <c r="L192" s="17"/>
      <c r="M192" s="17"/>
      <c r="N192" s="29"/>
      <c r="O192" s="29"/>
      <c r="P192" s="29"/>
      <c r="Q192" s="29"/>
      <c r="R192" s="38" t="s">
        <v>68</v>
      </c>
      <c r="S192" s="38" t="s">
        <v>68</v>
      </c>
      <c r="T192" s="17"/>
      <c r="U192" s="17" t="s">
        <v>69</v>
      </c>
      <c r="V192" s="17">
        <v>0</v>
      </c>
      <c r="W192" s="17"/>
      <c r="X192" s="17"/>
      <c r="Y192" s="53"/>
      <c r="Z192" s="16"/>
      <c r="AA192" s="54"/>
      <c r="AB192" s="17">
        <v>0</v>
      </c>
      <c r="AC192" s="55">
        <v>1</v>
      </c>
      <c r="AD192" s="55"/>
      <c r="AE192" s="55"/>
      <c r="AF192" s="55"/>
      <c r="AG192" s="17"/>
      <c r="AH192" s="17"/>
      <c r="AI192" s="14">
        <f t="shared" si="35"/>
        <v>0</v>
      </c>
      <c r="AJ192" s="29">
        <v>1</v>
      </c>
      <c r="AK192" s="14" t="str">
        <f t="shared" si="36"/>
        <v/>
      </c>
      <c r="AL192" s="56"/>
      <c r="AO192" s="14">
        <f t="shared" si="37"/>
        <v>0</v>
      </c>
      <c r="AP192" s="29"/>
      <c r="AQ192" s="14" t="str">
        <f t="shared" si="38"/>
        <v>[1332,0,0];</v>
      </c>
      <c r="AR192" s="56"/>
      <c r="AU192" s="14">
        <v>0</v>
      </c>
      <c r="AV192" s="29">
        <v>1</v>
      </c>
      <c r="AW192" s="14" t="str">
        <f t="shared" si="39"/>
        <v/>
      </c>
      <c r="AX192" s="56"/>
      <c r="BA192" s="8">
        <v>1</v>
      </c>
    </row>
    <row r="193" spans="2:53">
      <c r="B193" s="14">
        <v>1333</v>
      </c>
      <c r="C193" s="16" t="s">
        <v>374</v>
      </c>
      <c r="D193" s="15">
        <v>100333</v>
      </c>
      <c r="E193" s="17"/>
      <c r="F193" s="17"/>
      <c r="G193" s="17"/>
      <c r="H193" s="17"/>
      <c r="I193" s="29"/>
      <c r="J193" s="29"/>
      <c r="K193" s="29"/>
      <c r="L193" s="17"/>
      <c r="M193" s="17"/>
      <c r="N193" s="29"/>
      <c r="O193" s="29"/>
      <c r="P193" s="29"/>
      <c r="Q193" s="29"/>
      <c r="R193" s="38" t="s">
        <v>68</v>
      </c>
      <c r="S193" s="38" t="s">
        <v>68</v>
      </c>
      <c r="T193" s="17"/>
      <c r="U193" s="17" t="s">
        <v>69</v>
      </c>
      <c r="V193" s="17">
        <v>0</v>
      </c>
      <c r="W193" s="17"/>
      <c r="X193" s="17"/>
      <c r="Y193" s="53"/>
      <c r="Z193" s="16"/>
      <c r="AA193" s="54"/>
      <c r="AB193" s="17">
        <v>0</v>
      </c>
      <c r="AC193" s="55">
        <v>1</v>
      </c>
      <c r="AD193" s="55"/>
      <c r="AE193" s="55"/>
      <c r="AF193" s="55"/>
      <c r="AG193" s="17"/>
      <c r="AH193" s="17"/>
      <c r="AI193" s="14">
        <f t="shared" si="35"/>
        <v>0</v>
      </c>
      <c r="AJ193" s="29">
        <v>1</v>
      </c>
      <c r="AK193" s="14" t="str">
        <f t="shared" si="36"/>
        <v/>
      </c>
      <c r="AL193" s="56"/>
      <c r="AO193" s="14">
        <f t="shared" si="37"/>
        <v>0</v>
      </c>
      <c r="AP193" s="29"/>
      <c r="AQ193" s="14" t="str">
        <f t="shared" si="38"/>
        <v>[1333,0,0];</v>
      </c>
      <c r="AR193" s="56"/>
      <c r="AU193" s="14">
        <v>0</v>
      </c>
      <c r="AV193" s="29">
        <v>1</v>
      </c>
      <c r="AW193" s="14" t="str">
        <f t="shared" si="39"/>
        <v/>
      </c>
      <c r="AX193" s="56"/>
      <c r="BA193" s="8">
        <v>1</v>
      </c>
    </row>
    <row r="194" ht="27" spans="2:53">
      <c r="B194" s="14">
        <v>1334</v>
      </c>
      <c r="C194" s="16" t="s">
        <v>375</v>
      </c>
      <c r="D194" s="15">
        <v>100334</v>
      </c>
      <c r="E194" s="17"/>
      <c r="F194" s="17"/>
      <c r="G194" s="17"/>
      <c r="H194" s="17"/>
      <c r="I194" s="29"/>
      <c r="J194" s="29"/>
      <c r="K194" s="29"/>
      <c r="L194" s="17"/>
      <c r="M194" s="17"/>
      <c r="N194" s="29"/>
      <c r="O194" s="29"/>
      <c r="P194" s="29"/>
      <c r="Q194" s="29"/>
      <c r="R194" s="38" t="s">
        <v>68</v>
      </c>
      <c r="S194" s="38" t="s">
        <v>68</v>
      </c>
      <c r="T194" s="17"/>
      <c r="U194" s="17" t="s">
        <v>69</v>
      </c>
      <c r="V194" s="17">
        <v>0</v>
      </c>
      <c r="W194" s="17"/>
      <c r="X194" s="17"/>
      <c r="Y194" s="53"/>
      <c r="Z194" s="16"/>
      <c r="AA194" s="54"/>
      <c r="AB194" s="17">
        <v>0</v>
      </c>
      <c r="AC194" s="55" t="s">
        <v>376</v>
      </c>
      <c r="AD194" s="55" t="s">
        <v>377</v>
      </c>
      <c r="AE194" s="55"/>
      <c r="AF194" s="55"/>
      <c r="AG194" s="17"/>
      <c r="AH194" s="17"/>
      <c r="AI194" s="14">
        <f t="shared" si="35"/>
        <v>0</v>
      </c>
      <c r="AJ194" s="29">
        <v>1</v>
      </c>
      <c r="AK194" s="14" t="str">
        <f t="shared" si="36"/>
        <v/>
      </c>
      <c r="AL194" s="56"/>
      <c r="AO194" s="14">
        <f t="shared" si="37"/>
        <v>0</v>
      </c>
      <c r="AP194" s="29"/>
      <c r="AQ194" s="14" t="str">
        <f t="shared" si="38"/>
        <v>[1334,0,0];</v>
      </c>
      <c r="AR194" s="56"/>
      <c r="AU194" s="14">
        <v>0</v>
      </c>
      <c r="AV194" s="29">
        <v>1</v>
      </c>
      <c r="AW194" s="14" t="str">
        <f t="shared" si="39"/>
        <v/>
      </c>
      <c r="AX194" s="56"/>
      <c r="BA194" s="8">
        <v>1</v>
      </c>
    </row>
    <row r="195" ht="40.5" spans="2:53">
      <c r="B195" s="14">
        <v>1335</v>
      </c>
      <c r="C195" s="21" t="s">
        <v>378</v>
      </c>
      <c r="D195" s="15">
        <v>100335</v>
      </c>
      <c r="E195" s="17">
        <v>7</v>
      </c>
      <c r="F195" s="17"/>
      <c r="G195" s="17"/>
      <c r="H195" s="17"/>
      <c r="I195" s="29"/>
      <c r="J195" s="29" t="s">
        <v>316</v>
      </c>
      <c r="K195" s="29"/>
      <c r="L195" s="17"/>
      <c r="M195" s="17">
        <v>1</v>
      </c>
      <c r="N195" s="29"/>
      <c r="O195" s="29"/>
      <c r="P195" s="29"/>
      <c r="Q195" s="29">
        <v>110</v>
      </c>
      <c r="R195" s="38" t="s">
        <v>68</v>
      </c>
      <c r="S195" s="38" t="s">
        <v>68</v>
      </c>
      <c r="T195" s="17"/>
      <c r="U195" s="17" t="s">
        <v>69</v>
      </c>
      <c r="V195" s="17">
        <v>0</v>
      </c>
      <c r="W195" s="17"/>
      <c r="X195" s="17"/>
      <c r="Y195" s="53"/>
      <c r="Z195" s="16"/>
      <c r="AA195" s="54">
        <v>-1</v>
      </c>
      <c r="AB195" s="55" t="s">
        <v>338</v>
      </c>
      <c r="AC195" s="55" t="s">
        <v>339</v>
      </c>
      <c r="AD195" s="56"/>
      <c r="AE195" s="56"/>
      <c r="AF195" s="17"/>
      <c r="AG195" s="17"/>
      <c r="AH195" s="17"/>
      <c r="AI195" s="14">
        <f t="shared" si="35"/>
        <v>-1</v>
      </c>
      <c r="AJ195" s="29"/>
      <c r="AK195" s="14" t="str">
        <f t="shared" si="36"/>
        <v>[1335,-1,0];</v>
      </c>
      <c r="AL195" s="56"/>
      <c r="AO195" s="14">
        <f t="shared" si="37"/>
        <v>-1</v>
      </c>
      <c r="AP195" s="29"/>
      <c r="AQ195" s="14" t="str">
        <f t="shared" si="38"/>
        <v>[1335,-1,0];</v>
      </c>
      <c r="AR195" s="56"/>
      <c r="AU195" s="14">
        <v>-1</v>
      </c>
      <c r="AV195" s="29"/>
      <c r="AW195" s="14" t="str">
        <f t="shared" si="39"/>
        <v>[1335,-1,0];</v>
      </c>
      <c r="AX195" s="56"/>
      <c r="BA195" s="8">
        <v>1</v>
      </c>
    </row>
    <row r="196" ht="40.5" spans="2:53">
      <c r="B196" s="14">
        <v>1336</v>
      </c>
      <c r="C196" s="21" t="s">
        <v>379</v>
      </c>
      <c r="D196" s="15">
        <v>100336</v>
      </c>
      <c r="E196" s="17">
        <v>7</v>
      </c>
      <c r="F196" s="17"/>
      <c r="G196" s="17"/>
      <c r="H196" s="17"/>
      <c r="I196" s="29"/>
      <c r="J196" s="29" t="s">
        <v>316</v>
      </c>
      <c r="K196" s="29"/>
      <c r="L196" s="17"/>
      <c r="M196" s="17">
        <v>1</v>
      </c>
      <c r="N196" s="29"/>
      <c r="O196" s="29"/>
      <c r="P196" s="29"/>
      <c r="Q196" s="29">
        <v>110</v>
      </c>
      <c r="R196" s="38" t="s">
        <v>68</v>
      </c>
      <c r="S196" s="38" t="s">
        <v>68</v>
      </c>
      <c r="T196" s="17"/>
      <c r="U196" s="17" t="s">
        <v>69</v>
      </c>
      <c r="V196" s="17">
        <v>0</v>
      </c>
      <c r="W196" s="17"/>
      <c r="X196" s="17"/>
      <c r="Y196" s="53"/>
      <c r="Z196" s="16"/>
      <c r="AA196" s="54">
        <v>-1</v>
      </c>
      <c r="AB196" s="55" t="s">
        <v>380</v>
      </c>
      <c r="AC196" s="55" t="s">
        <v>339</v>
      </c>
      <c r="AD196" s="56"/>
      <c r="AE196" s="56"/>
      <c r="AF196" s="17"/>
      <c r="AG196" s="17"/>
      <c r="AH196" s="17"/>
      <c r="AI196" s="14">
        <f t="shared" si="35"/>
        <v>-1</v>
      </c>
      <c r="AJ196" s="29"/>
      <c r="AK196" s="14" t="str">
        <f t="shared" si="36"/>
        <v>[1336,-1,0];</v>
      </c>
      <c r="AL196" s="56"/>
      <c r="AO196" s="14">
        <f t="shared" si="37"/>
        <v>-1</v>
      </c>
      <c r="AP196" s="29"/>
      <c r="AQ196" s="14" t="str">
        <f t="shared" si="38"/>
        <v>[1336,-1,0];</v>
      </c>
      <c r="AR196" s="56"/>
      <c r="AU196" s="14">
        <v>-1</v>
      </c>
      <c r="AV196" s="29"/>
      <c r="AW196" s="14" t="str">
        <f t="shared" si="39"/>
        <v>[1336,-1,0];</v>
      </c>
      <c r="AX196" s="56"/>
      <c r="BA196" s="8">
        <v>1</v>
      </c>
    </row>
    <row r="197" ht="40.5" spans="2:53">
      <c r="B197" s="14">
        <v>1337</v>
      </c>
      <c r="C197" s="21" t="s">
        <v>381</v>
      </c>
      <c r="D197" s="15">
        <v>100337</v>
      </c>
      <c r="E197" s="17">
        <v>7</v>
      </c>
      <c r="F197" s="17"/>
      <c r="G197" s="17"/>
      <c r="H197" s="17"/>
      <c r="I197" s="29"/>
      <c r="J197" s="29" t="s">
        <v>316</v>
      </c>
      <c r="K197" s="29"/>
      <c r="L197" s="17"/>
      <c r="M197" s="17">
        <v>1</v>
      </c>
      <c r="N197" s="29"/>
      <c r="O197" s="29"/>
      <c r="P197" s="29"/>
      <c r="Q197" s="29">
        <v>110</v>
      </c>
      <c r="R197" s="38" t="s">
        <v>68</v>
      </c>
      <c r="S197" s="38" t="s">
        <v>68</v>
      </c>
      <c r="T197" s="17"/>
      <c r="U197" s="17" t="s">
        <v>69</v>
      </c>
      <c r="V197" s="17">
        <v>0</v>
      </c>
      <c r="W197" s="17"/>
      <c r="X197" s="17"/>
      <c r="Y197" s="53"/>
      <c r="Z197" s="16"/>
      <c r="AA197" s="54">
        <v>-1</v>
      </c>
      <c r="AB197" s="55" t="s">
        <v>382</v>
      </c>
      <c r="AC197" s="55" t="s">
        <v>339</v>
      </c>
      <c r="AD197" s="56"/>
      <c r="AE197" s="56"/>
      <c r="AF197" s="17"/>
      <c r="AG197" s="17"/>
      <c r="AH197" s="17"/>
      <c r="AI197" s="14">
        <f t="shared" si="35"/>
        <v>-1</v>
      </c>
      <c r="AJ197" s="29"/>
      <c r="AK197" s="14" t="str">
        <f t="shared" si="36"/>
        <v>[1337,-1,0];</v>
      </c>
      <c r="AL197" s="56"/>
      <c r="AO197" s="14">
        <f t="shared" si="37"/>
        <v>-1</v>
      </c>
      <c r="AP197" s="29"/>
      <c r="AQ197" s="14" t="str">
        <f t="shared" si="38"/>
        <v>[1337,-1,0];</v>
      </c>
      <c r="AR197" s="56"/>
      <c r="AU197" s="14">
        <v>-1</v>
      </c>
      <c r="AV197" s="29"/>
      <c r="AW197" s="14" t="str">
        <f t="shared" si="39"/>
        <v>[1337,-1,0];</v>
      </c>
      <c r="AX197" s="56"/>
      <c r="BA197" s="8">
        <v>1</v>
      </c>
    </row>
    <row r="198" spans="2:53">
      <c r="B198" s="14">
        <v>1338</v>
      </c>
      <c r="C198" s="16" t="s">
        <v>383</v>
      </c>
      <c r="D198" s="15">
        <v>100338</v>
      </c>
      <c r="E198" s="17"/>
      <c r="F198" s="17"/>
      <c r="G198" s="17"/>
      <c r="H198" s="17"/>
      <c r="I198" s="29"/>
      <c r="J198" s="29"/>
      <c r="K198" s="29"/>
      <c r="L198" s="17"/>
      <c r="M198" s="17"/>
      <c r="N198" s="29"/>
      <c r="O198" s="29"/>
      <c r="P198" s="29"/>
      <c r="Q198" s="29"/>
      <c r="R198" s="38" t="s">
        <v>68</v>
      </c>
      <c r="S198" s="38" t="s">
        <v>68</v>
      </c>
      <c r="T198" s="17"/>
      <c r="U198" s="17" t="s">
        <v>69</v>
      </c>
      <c r="V198" s="17">
        <v>0</v>
      </c>
      <c r="W198" s="17"/>
      <c r="X198" s="17"/>
      <c r="Y198" s="53"/>
      <c r="Z198" s="16"/>
      <c r="AA198" s="54"/>
      <c r="AB198" s="17">
        <v>0</v>
      </c>
      <c r="AC198" s="55">
        <v>1</v>
      </c>
      <c r="AD198" s="56"/>
      <c r="AE198" s="56"/>
      <c r="AF198" s="17"/>
      <c r="AG198" s="17"/>
      <c r="AH198" s="17"/>
      <c r="AI198" s="14">
        <f t="shared" si="35"/>
        <v>0</v>
      </c>
      <c r="AJ198" s="29">
        <v>1</v>
      </c>
      <c r="AK198" s="14" t="str">
        <f t="shared" si="36"/>
        <v/>
      </c>
      <c r="AL198" s="56"/>
      <c r="AO198" s="14">
        <f t="shared" si="37"/>
        <v>0</v>
      </c>
      <c r="AP198" s="29"/>
      <c r="AQ198" s="14" t="str">
        <f t="shared" si="38"/>
        <v>[1338,0,0];</v>
      </c>
      <c r="AR198" s="56"/>
      <c r="AU198" s="14">
        <v>0</v>
      </c>
      <c r="AV198" s="29">
        <v>1</v>
      </c>
      <c r="AW198" s="14" t="str">
        <f t="shared" si="39"/>
        <v/>
      </c>
      <c r="AX198" s="56"/>
      <c r="BA198" s="8">
        <v>1</v>
      </c>
    </row>
    <row r="199" spans="2:53">
      <c r="B199" s="14">
        <v>1339</v>
      </c>
      <c r="C199" s="16" t="s">
        <v>384</v>
      </c>
      <c r="D199" s="15">
        <v>100339</v>
      </c>
      <c r="E199" s="17"/>
      <c r="F199" s="17"/>
      <c r="G199" s="17"/>
      <c r="H199" s="17"/>
      <c r="I199" s="29"/>
      <c r="J199" s="29"/>
      <c r="K199" s="29"/>
      <c r="L199" s="17"/>
      <c r="M199" s="17"/>
      <c r="N199" s="29"/>
      <c r="O199" s="29"/>
      <c r="P199" s="29"/>
      <c r="Q199" s="29"/>
      <c r="R199" s="38" t="s">
        <v>68</v>
      </c>
      <c r="S199" s="38" t="s">
        <v>68</v>
      </c>
      <c r="T199" s="17"/>
      <c r="U199" s="17" t="s">
        <v>69</v>
      </c>
      <c r="V199" s="17">
        <v>0</v>
      </c>
      <c r="W199" s="17"/>
      <c r="X199" s="17"/>
      <c r="Y199" s="53"/>
      <c r="Z199" s="16"/>
      <c r="AA199" s="54"/>
      <c r="AB199" s="17">
        <v>0</v>
      </c>
      <c r="AC199" s="55">
        <v>1</v>
      </c>
      <c r="AD199" s="56"/>
      <c r="AE199" s="56"/>
      <c r="AF199" s="17"/>
      <c r="AG199" s="17"/>
      <c r="AH199" s="17"/>
      <c r="AI199" s="14">
        <f t="shared" si="35"/>
        <v>0</v>
      </c>
      <c r="AJ199" s="29">
        <v>1</v>
      </c>
      <c r="AK199" s="14" t="str">
        <f t="shared" si="36"/>
        <v/>
      </c>
      <c r="AL199" s="56"/>
      <c r="AO199" s="14">
        <f t="shared" si="37"/>
        <v>0</v>
      </c>
      <c r="AP199" s="29"/>
      <c r="AQ199" s="14" t="str">
        <f t="shared" si="38"/>
        <v>[1339,0,0];</v>
      </c>
      <c r="AR199" s="56"/>
      <c r="AU199" s="14">
        <v>0</v>
      </c>
      <c r="AV199" s="29">
        <v>1</v>
      </c>
      <c r="AW199" s="14" t="str">
        <f t="shared" si="39"/>
        <v/>
      </c>
      <c r="AX199" s="56"/>
      <c r="BA199" s="8">
        <v>1</v>
      </c>
    </row>
    <row r="200" spans="2:53">
      <c r="B200" s="14">
        <v>1340</v>
      </c>
      <c r="C200" s="16" t="s">
        <v>385</v>
      </c>
      <c r="D200" s="15">
        <v>100340</v>
      </c>
      <c r="E200" s="17"/>
      <c r="F200" s="17"/>
      <c r="G200" s="17"/>
      <c r="H200" s="17"/>
      <c r="I200" s="29"/>
      <c r="J200" s="29"/>
      <c r="K200" s="29"/>
      <c r="L200" s="17"/>
      <c r="M200" s="17"/>
      <c r="N200" s="29"/>
      <c r="O200" s="29"/>
      <c r="P200" s="29"/>
      <c r="Q200" s="29"/>
      <c r="R200" s="38" t="s">
        <v>68</v>
      </c>
      <c r="S200" s="38" t="s">
        <v>68</v>
      </c>
      <c r="T200" s="17"/>
      <c r="U200" s="17" t="s">
        <v>69</v>
      </c>
      <c r="V200" s="17">
        <v>0</v>
      </c>
      <c r="W200" s="17"/>
      <c r="X200" s="17"/>
      <c r="Y200" s="53"/>
      <c r="Z200" s="16"/>
      <c r="AA200" s="54"/>
      <c r="AB200" s="17">
        <v>0</v>
      </c>
      <c r="AC200" s="55">
        <v>1</v>
      </c>
      <c r="AD200" s="56"/>
      <c r="AE200" s="56"/>
      <c r="AF200" s="17"/>
      <c r="AG200" s="17"/>
      <c r="AH200" s="17"/>
      <c r="AI200" s="14">
        <f t="shared" si="35"/>
        <v>0</v>
      </c>
      <c r="AJ200" s="29">
        <v>1</v>
      </c>
      <c r="AK200" s="14" t="str">
        <f t="shared" si="36"/>
        <v/>
      </c>
      <c r="AL200" s="56"/>
      <c r="AO200" s="14">
        <f t="shared" si="37"/>
        <v>0</v>
      </c>
      <c r="AP200" s="29"/>
      <c r="AQ200" s="14" t="str">
        <f t="shared" si="38"/>
        <v>[1340,0,0];</v>
      </c>
      <c r="AR200" s="56"/>
      <c r="AU200" s="14">
        <v>0</v>
      </c>
      <c r="AV200" s="29">
        <v>1</v>
      </c>
      <c r="AW200" s="14" t="str">
        <f t="shared" si="39"/>
        <v/>
      </c>
      <c r="AX200" s="56"/>
      <c r="BA200" s="8">
        <v>1</v>
      </c>
    </row>
    <row r="201" spans="2:53">
      <c r="B201" s="14">
        <v>1341</v>
      </c>
      <c r="C201" s="16" t="s">
        <v>386</v>
      </c>
      <c r="D201" s="15">
        <v>100341</v>
      </c>
      <c r="E201" s="17"/>
      <c r="F201" s="17"/>
      <c r="G201" s="17"/>
      <c r="H201" s="17"/>
      <c r="I201" s="29"/>
      <c r="J201" s="29"/>
      <c r="K201" s="29"/>
      <c r="L201" s="17"/>
      <c r="M201" s="17"/>
      <c r="N201" s="29"/>
      <c r="O201" s="29"/>
      <c r="P201" s="29"/>
      <c r="Q201" s="29"/>
      <c r="R201" s="38" t="s">
        <v>68</v>
      </c>
      <c r="S201" s="38" t="s">
        <v>68</v>
      </c>
      <c r="T201" s="17"/>
      <c r="U201" s="17" t="s">
        <v>69</v>
      </c>
      <c r="V201" s="17">
        <v>0</v>
      </c>
      <c r="W201" s="17"/>
      <c r="X201" s="17"/>
      <c r="Y201" s="53"/>
      <c r="Z201" s="16"/>
      <c r="AA201" s="54"/>
      <c r="AB201" s="17">
        <v>0</v>
      </c>
      <c r="AC201" s="55" t="s">
        <v>387</v>
      </c>
      <c r="AD201" s="56"/>
      <c r="AE201" s="56"/>
      <c r="AF201" s="17"/>
      <c r="AG201" s="17"/>
      <c r="AH201" s="17"/>
      <c r="AI201" s="14">
        <f t="shared" si="35"/>
        <v>0</v>
      </c>
      <c r="AJ201" s="29">
        <v>1</v>
      </c>
      <c r="AK201" s="14" t="str">
        <f t="shared" si="36"/>
        <v/>
      </c>
      <c r="AL201" s="56"/>
      <c r="AO201" s="14">
        <f t="shared" si="37"/>
        <v>0</v>
      </c>
      <c r="AP201" s="29"/>
      <c r="AQ201" s="14" t="str">
        <f t="shared" si="38"/>
        <v>[1341,0,0];</v>
      </c>
      <c r="AR201" s="56"/>
      <c r="AU201" s="14">
        <v>0</v>
      </c>
      <c r="AV201" s="29"/>
      <c r="AW201" s="14" t="str">
        <f t="shared" si="39"/>
        <v>[1341,0,0];</v>
      </c>
      <c r="AX201" s="56"/>
      <c r="BA201" s="8">
        <v>1</v>
      </c>
    </row>
    <row r="202" spans="2:53">
      <c r="B202" s="14">
        <v>1342</v>
      </c>
      <c r="C202" s="16" t="s">
        <v>388</v>
      </c>
      <c r="D202" s="15">
        <v>100342</v>
      </c>
      <c r="E202" s="17"/>
      <c r="F202" s="17"/>
      <c r="G202" s="17"/>
      <c r="H202" s="17"/>
      <c r="I202" s="29"/>
      <c r="J202" s="29"/>
      <c r="K202" s="29"/>
      <c r="L202" s="17"/>
      <c r="M202" s="17"/>
      <c r="N202" s="29"/>
      <c r="O202" s="29"/>
      <c r="P202" s="29"/>
      <c r="Q202" s="29"/>
      <c r="R202" s="38" t="s">
        <v>68</v>
      </c>
      <c r="S202" s="38" t="s">
        <v>68</v>
      </c>
      <c r="T202" s="17"/>
      <c r="U202" s="17" t="s">
        <v>69</v>
      </c>
      <c r="V202" s="17">
        <v>0</v>
      </c>
      <c r="W202" s="17"/>
      <c r="X202" s="17"/>
      <c r="Y202" s="53"/>
      <c r="Z202" s="16"/>
      <c r="AA202" s="54"/>
      <c r="AB202" s="17">
        <v>0</v>
      </c>
      <c r="AC202" s="55"/>
      <c r="AD202" s="56"/>
      <c r="AE202" s="56"/>
      <c r="AF202" s="17"/>
      <c r="AG202" s="17"/>
      <c r="AH202" s="17"/>
      <c r="AI202" s="14">
        <f t="shared" si="35"/>
        <v>0</v>
      </c>
      <c r="AJ202" s="29">
        <v>1</v>
      </c>
      <c r="AK202" s="14" t="str">
        <f t="shared" si="36"/>
        <v/>
      </c>
      <c r="AL202" s="56"/>
      <c r="AO202" s="14">
        <f t="shared" si="37"/>
        <v>0</v>
      </c>
      <c r="AP202" s="29">
        <v>1</v>
      </c>
      <c r="AQ202" s="14" t="str">
        <f t="shared" si="38"/>
        <v/>
      </c>
      <c r="AR202" s="56"/>
      <c r="AU202" s="14">
        <v>0</v>
      </c>
      <c r="AV202" s="29">
        <v>1</v>
      </c>
      <c r="AW202" s="14" t="str">
        <f t="shared" si="39"/>
        <v/>
      </c>
      <c r="AX202" s="56"/>
      <c r="BA202" s="8">
        <v>1</v>
      </c>
    </row>
    <row r="203" s="1" customFormat="1" ht="40.5" spans="1:53">
      <c r="A203" s="18" t="s">
        <v>22</v>
      </c>
      <c r="B203" s="14">
        <v>1343</v>
      </c>
      <c r="C203" s="16" t="s">
        <v>389</v>
      </c>
      <c r="D203" s="15">
        <v>100343</v>
      </c>
      <c r="E203" s="17"/>
      <c r="F203" s="17"/>
      <c r="G203" s="17"/>
      <c r="H203" s="17"/>
      <c r="I203" s="29"/>
      <c r="J203" s="29"/>
      <c r="K203" s="29"/>
      <c r="L203" s="17"/>
      <c r="M203" s="17"/>
      <c r="N203" s="29"/>
      <c r="O203" s="29"/>
      <c r="P203" s="29"/>
      <c r="Q203" s="29">
        <v>110</v>
      </c>
      <c r="R203" s="38" t="s">
        <v>68</v>
      </c>
      <c r="S203" s="38" t="s">
        <v>68</v>
      </c>
      <c r="T203" s="17"/>
      <c r="U203" s="17" t="s">
        <v>69</v>
      </c>
      <c r="V203" s="17"/>
      <c r="W203" s="17">
        <v>1</v>
      </c>
      <c r="X203" s="17"/>
      <c r="Y203" s="53"/>
      <c r="Z203" s="16"/>
      <c r="AA203" s="54">
        <v>-1</v>
      </c>
      <c r="AB203" s="55" t="s">
        <v>70</v>
      </c>
      <c r="AC203" s="55" t="s">
        <v>71</v>
      </c>
      <c r="AD203" s="56"/>
      <c r="AE203" s="56"/>
      <c r="AF203" s="17"/>
      <c r="AG203" s="17"/>
      <c r="AH203" s="17"/>
      <c r="AI203" s="14">
        <f t="shared" si="35"/>
        <v>-1</v>
      </c>
      <c r="AJ203" s="29">
        <v>1</v>
      </c>
      <c r="AK203" s="14" t="str">
        <f t="shared" si="36"/>
        <v/>
      </c>
      <c r="AL203" s="56"/>
      <c r="AM203" s="8"/>
      <c r="AN203" s="8"/>
      <c r="AO203" s="14">
        <f t="shared" si="37"/>
        <v>-1</v>
      </c>
      <c r="AP203" s="29"/>
      <c r="AQ203" s="14" t="str">
        <f t="shared" si="38"/>
        <v>[1343,-1,0];</v>
      </c>
      <c r="AR203" s="56"/>
      <c r="AS203" s="8"/>
      <c r="AT203" s="8"/>
      <c r="AU203" s="14">
        <v>-1</v>
      </c>
      <c r="AV203" s="29"/>
      <c r="AW203" s="14" t="str">
        <f t="shared" si="39"/>
        <v>[1343,-1,0];</v>
      </c>
      <c r="AX203" s="56"/>
      <c r="BA203" s="1">
        <v>1</v>
      </c>
    </row>
    <row r="204" s="1" customFormat="1" ht="40.5" spans="1:53">
      <c r="A204" s="18" t="s">
        <v>22</v>
      </c>
      <c r="B204" s="14">
        <v>1344</v>
      </c>
      <c r="C204" s="16" t="s">
        <v>390</v>
      </c>
      <c r="D204" s="15">
        <v>100344</v>
      </c>
      <c r="E204" s="17"/>
      <c r="F204" s="17"/>
      <c r="G204" s="17"/>
      <c r="H204" s="17"/>
      <c r="I204" s="29"/>
      <c r="J204" s="29"/>
      <c r="K204" s="29"/>
      <c r="L204" s="17"/>
      <c r="M204" s="17"/>
      <c r="N204" s="29"/>
      <c r="O204" s="29"/>
      <c r="P204" s="29"/>
      <c r="Q204" s="29">
        <v>110</v>
      </c>
      <c r="R204" s="38" t="s">
        <v>68</v>
      </c>
      <c r="S204" s="38" t="s">
        <v>68</v>
      </c>
      <c r="T204" s="17"/>
      <c r="U204" s="17" t="s">
        <v>69</v>
      </c>
      <c r="V204" s="17"/>
      <c r="W204" s="17">
        <v>1</v>
      </c>
      <c r="X204" s="17"/>
      <c r="Y204" s="53"/>
      <c r="Z204" s="16"/>
      <c r="AA204" s="54">
        <v>-1</v>
      </c>
      <c r="AB204" s="55" t="s">
        <v>70</v>
      </c>
      <c r="AC204" s="55" t="s">
        <v>71</v>
      </c>
      <c r="AD204" s="56"/>
      <c r="AE204" s="56"/>
      <c r="AF204" s="17"/>
      <c r="AG204" s="17"/>
      <c r="AH204" s="17"/>
      <c r="AI204" s="14">
        <f t="shared" si="35"/>
        <v>-1</v>
      </c>
      <c r="AJ204" s="29">
        <v>1</v>
      </c>
      <c r="AK204" s="14" t="str">
        <f t="shared" si="36"/>
        <v/>
      </c>
      <c r="AL204" s="56"/>
      <c r="AM204" s="8"/>
      <c r="AN204" s="8"/>
      <c r="AO204" s="14">
        <f t="shared" si="37"/>
        <v>-1</v>
      </c>
      <c r="AP204" s="29"/>
      <c r="AQ204" s="14" t="str">
        <f t="shared" si="38"/>
        <v>[1344,-1,0];</v>
      </c>
      <c r="AR204" s="56"/>
      <c r="AS204" s="8"/>
      <c r="AT204" s="8"/>
      <c r="AU204" s="14">
        <v>-1</v>
      </c>
      <c r="AV204" s="29"/>
      <c r="AW204" s="14" t="str">
        <f t="shared" si="39"/>
        <v>[1344,-1,0];</v>
      </c>
      <c r="AX204" s="56"/>
      <c r="BA204" s="1">
        <v>1</v>
      </c>
    </row>
    <row r="205" ht="27" spans="2:53">
      <c r="B205" s="14">
        <v>1345</v>
      </c>
      <c r="C205" s="16" t="s">
        <v>391</v>
      </c>
      <c r="D205" s="15">
        <v>100345</v>
      </c>
      <c r="E205" s="17"/>
      <c r="F205" s="17"/>
      <c r="G205" s="17"/>
      <c r="H205" s="17"/>
      <c r="I205" s="29"/>
      <c r="J205" s="29"/>
      <c r="K205" s="29"/>
      <c r="L205" s="17"/>
      <c r="M205" s="17"/>
      <c r="N205" s="29"/>
      <c r="O205" s="29"/>
      <c r="P205" s="29"/>
      <c r="Q205" s="29">
        <v>110</v>
      </c>
      <c r="R205" s="38" t="s">
        <v>68</v>
      </c>
      <c r="S205" s="38" t="s">
        <v>68</v>
      </c>
      <c r="T205" s="17"/>
      <c r="U205" s="17" t="s">
        <v>69</v>
      </c>
      <c r="V205" s="17">
        <v>0</v>
      </c>
      <c r="W205" s="17"/>
      <c r="X205" s="17"/>
      <c r="Y205" s="53"/>
      <c r="Z205" s="16"/>
      <c r="AA205" s="54"/>
      <c r="AB205" s="17" t="s">
        <v>78</v>
      </c>
      <c r="AC205" s="55" t="s">
        <v>79</v>
      </c>
      <c r="AD205" s="56"/>
      <c r="AE205" s="56"/>
      <c r="AF205" s="17"/>
      <c r="AG205" s="17"/>
      <c r="AH205" s="17"/>
      <c r="AI205" s="14">
        <f t="shared" si="35"/>
        <v>0</v>
      </c>
      <c r="AJ205" s="29">
        <v>1</v>
      </c>
      <c r="AK205" s="14" t="str">
        <f t="shared" si="36"/>
        <v/>
      </c>
      <c r="AL205" s="56"/>
      <c r="AO205" s="14">
        <f t="shared" si="37"/>
        <v>0</v>
      </c>
      <c r="AP205" s="29"/>
      <c r="AQ205" s="14" t="str">
        <f t="shared" si="38"/>
        <v>[1345,0,0];</v>
      </c>
      <c r="AR205" s="56"/>
      <c r="AU205" s="14">
        <v>0</v>
      </c>
      <c r="AV205" s="29"/>
      <c r="AW205" s="14" t="str">
        <f t="shared" si="39"/>
        <v>[1345,0,0];</v>
      </c>
      <c r="AX205" s="56"/>
      <c r="BA205" s="8">
        <v>1</v>
      </c>
    </row>
    <row r="206" s="1" customFormat="1" ht="27" spans="1:53">
      <c r="A206" s="18" t="s">
        <v>22</v>
      </c>
      <c r="B206" s="14">
        <v>1346</v>
      </c>
      <c r="C206" s="16" t="s">
        <v>392</v>
      </c>
      <c r="D206" s="15">
        <v>100346</v>
      </c>
      <c r="E206" s="17"/>
      <c r="F206" s="17"/>
      <c r="G206" s="17"/>
      <c r="H206" s="17"/>
      <c r="I206" s="29"/>
      <c r="J206" s="29"/>
      <c r="K206" s="29"/>
      <c r="L206" s="17"/>
      <c r="M206" s="17"/>
      <c r="N206" s="29"/>
      <c r="O206" s="29"/>
      <c r="P206" s="29"/>
      <c r="Q206" s="29">
        <v>110</v>
      </c>
      <c r="R206" s="38" t="s">
        <v>68</v>
      </c>
      <c r="S206" s="38" t="s">
        <v>68</v>
      </c>
      <c r="T206" s="17"/>
      <c r="U206" s="17" t="s">
        <v>69</v>
      </c>
      <c r="V206" s="17">
        <v>0</v>
      </c>
      <c r="W206" s="17"/>
      <c r="X206" s="17"/>
      <c r="Y206" s="53"/>
      <c r="Z206" s="16"/>
      <c r="AA206" s="54">
        <v>-1</v>
      </c>
      <c r="AB206" s="17" t="s">
        <v>393</v>
      </c>
      <c r="AC206" s="55" t="s">
        <v>394</v>
      </c>
      <c r="AD206" s="56"/>
      <c r="AE206" s="56"/>
      <c r="AF206" s="17"/>
      <c r="AG206" s="17"/>
      <c r="AH206" s="17"/>
      <c r="AI206" s="14">
        <f t="shared" si="35"/>
        <v>-1</v>
      </c>
      <c r="AJ206" s="29">
        <v>1</v>
      </c>
      <c r="AK206" s="14" t="str">
        <f t="shared" si="36"/>
        <v/>
      </c>
      <c r="AL206" s="56"/>
      <c r="AM206" s="8"/>
      <c r="AN206" s="8"/>
      <c r="AO206" s="14">
        <f t="shared" si="37"/>
        <v>-1</v>
      </c>
      <c r="AP206" s="29"/>
      <c r="AQ206" s="14" t="str">
        <f t="shared" si="38"/>
        <v>[1346,-1,0];</v>
      </c>
      <c r="AR206" s="56"/>
      <c r="AS206" s="8"/>
      <c r="AT206" s="8"/>
      <c r="AU206" s="14">
        <v>-1</v>
      </c>
      <c r="AV206" s="29"/>
      <c r="AW206" s="14" t="str">
        <f t="shared" si="39"/>
        <v>[1346,-1,0];</v>
      </c>
      <c r="AX206" s="56"/>
      <c r="BA206" s="1">
        <v>1</v>
      </c>
    </row>
    <row r="207" ht="27" spans="2:53">
      <c r="B207" s="14">
        <v>1347</v>
      </c>
      <c r="C207" s="16" t="s">
        <v>395</v>
      </c>
      <c r="D207" s="15">
        <v>100347</v>
      </c>
      <c r="E207" s="17"/>
      <c r="F207" s="17"/>
      <c r="G207" s="17"/>
      <c r="H207" s="17"/>
      <c r="I207" s="29"/>
      <c r="J207" s="29"/>
      <c r="K207" s="29"/>
      <c r="L207" s="17"/>
      <c r="M207" s="17"/>
      <c r="N207" s="29"/>
      <c r="O207" s="29"/>
      <c r="P207" s="29"/>
      <c r="Q207" s="29">
        <v>110</v>
      </c>
      <c r="R207" s="38" t="s">
        <v>68</v>
      </c>
      <c r="S207" s="38" t="s">
        <v>68</v>
      </c>
      <c r="T207" s="17"/>
      <c r="U207" s="17" t="s">
        <v>69</v>
      </c>
      <c r="V207" s="17">
        <v>0</v>
      </c>
      <c r="W207" s="17"/>
      <c r="X207" s="17"/>
      <c r="Y207" s="53"/>
      <c r="Z207" s="16"/>
      <c r="AA207" s="54">
        <v>-1</v>
      </c>
      <c r="AB207" s="17" t="s">
        <v>393</v>
      </c>
      <c r="AC207" s="55" t="s">
        <v>394</v>
      </c>
      <c r="AD207" s="56"/>
      <c r="AE207" s="56"/>
      <c r="AF207" s="17"/>
      <c r="AG207" s="17"/>
      <c r="AH207" s="17"/>
      <c r="AI207" s="14">
        <f t="shared" si="35"/>
        <v>-1</v>
      </c>
      <c r="AJ207" s="29">
        <v>1</v>
      </c>
      <c r="AK207" s="14" t="str">
        <f t="shared" si="36"/>
        <v/>
      </c>
      <c r="AL207" s="56"/>
      <c r="AO207" s="14">
        <f t="shared" si="37"/>
        <v>-1</v>
      </c>
      <c r="AP207" s="29"/>
      <c r="AQ207" s="14" t="str">
        <f t="shared" si="38"/>
        <v>[1347,-1,0];</v>
      </c>
      <c r="AR207" s="56"/>
      <c r="AU207" s="14">
        <v>-1</v>
      </c>
      <c r="AV207" s="29"/>
      <c r="AW207" s="14" t="str">
        <f t="shared" si="39"/>
        <v>[1347,-1,0];</v>
      </c>
      <c r="AX207" s="56"/>
      <c r="BA207" s="8">
        <v>1</v>
      </c>
    </row>
    <row r="208" s="1" customFormat="1" ht="27" spans="1:53">
      <c r="A208" s="18" t="s">
        <v>22</v>
      </c>
      <c r="B208" s="14">
        <v>1348</v>
      </c>
      <c r="C208" s="16" t="s">
        <v>396</v>
      </c>
      <c r="D208" s="15">
        <v>100348</v>
      </c>
      <c r="E208" s="17"/>
      <c r="F208" s="17"/>
      <c r="G208" s="17"/>
      <c r="H208" s="17"/>
      <c r="I208" s="29"/>
      <c r="J208" s="29"/>
      <c r="K208" s="29"/>
      <c r="L208" s="17"/>
      <c r="M208" s="17"/>
      <c r="N208" s="29"/>
      <c r="O208" s="29"/>
      <c r="P208" s="29"/>
      <c r="Q208" s="29">
        <v>110</v>
      </c>
      <c r="R208" s="38" t="s">
        <v>68</v>
      </c>
      <c r="S208" s="38" t="s">
        <v>68</v>
      </c>
      <c r="T208" s="17"/>
      <c r="U208" s="17" t="s">
        <v>69</v>
      </c>
      <c r="V208" s="17">
        <v>0</v>
      </c>
      <c r="W208" s="17"/>
      <c r="X208" s="17"/>
      <c r="Y208" s="53"/>
      <c r="Z208" s="16"/>
      <c r="AA208" s="54">
        <v>-1</v>
      </c>
      <c r="AB208" s="17" t="s">
        <v>393</v>
      </c>
      <c r="AC208" s="55" t="s">
        <v>394</v>
      </c>
      <c r="AD208" s="56"/>
      <c r="AE208" s="56"/>
      <c r="AF208" s="17"/>
      <c r="AG208" s="17"/>
      <c r="AH208" s="17"/>
      <c r="AI208" s="14">
        <f t="shared" si="35"/>
        <v>-1</v>
      </c>
      <c r="AJ208" s="29">
        <v>1</v>
      </c>
      <c r="AK208" s="14" t="str">
        <f t="shared" si="36"/>
        <v/>
      </c>
      <c r="AL208" s="56"/>
      <c r="AM208" s="8"/>
      <c r="AN208" s="8"/>
      <c r="AO208" s="14">
        <f t="shared" si="37"/>
        <v>-1</v>
      </c>
      <c r="AP208" s="29"/>
      <c r="AQ208" s="14" t="str">
        <f t="shared" si="38"/>
        <v>[1348,-1,0];</v>
      </c>
      <c r="AR208" s="56"/>
      <c r="AS208" s="8"/>
      <c r="AT208" s="8"/>
      <c r="AU208" s="14">
        <v>-1</v>
      </c>
      <c r="AV208" s="29"/>
      <c r="AW208" s="14" t="str">
        <f t="shared" si="39"/>
        <v>[1348,-1,0];</v>
      </c>
      <c r="AX208" s="56"/>
      <c r="BA208" s="1">
        <v>1</v>
      </c>
    </row>
    <row r="209" s="1" customFormat="1" ht="27" spans="1:53">
      <c r="A209" s="18" t="s">
        <v>22</v>
      </c>
      <c r="B209" s="14">
        <v>1349</v>
      </c>
      <c r="C209" s="16" t="s">
        <v>397</v>
      </c>
      <c r="D209" s="15">
        <v>100349</v>
      </c>
      <c r="E209" s="17"/>
      <c r="F209" s="17"/>
      <c r="G209" s="17"/>
      <c r="H209" s="17"/>
      <c r="I209" s="29"/>
      <c r="J209" s="29"/>
      <c r="K209" s="29"/>
      <c r="L209" s="17"/>
      <c r="M209" s="17"/>
      <c r="N209" s="29"/>
      <c r="O209" s="29"/>
      <c r="P209" s="29"/>
      <c r="Q209" s="29">
        <v>110</v>
      </c>
      <c r="R209" s="38" t="s">
        <v>68</v>
      </c>
      <c r="S209" s="38" t="s">
        <v>68</v>
      </c>
      <c r="T209" s="17"/>
      <c r="U209" s="17" t="s">
        <v>69</v>
      </c>
      <c r="V209" s="17">
        <v>0</v>
      </c>
      <c r="W209" s="17"/>
      <c r="X209" s="17"/>
      <c r="Y209" s="53"/>
      <c r="Z209" s="16"/>
      <c r="AA209" s="54">
        <v>-1</v>
      </c>
      <c r="AB209" s="17" t="s">
        <v>393</v>
      </c>
      <c r="AC209" s="55" t="s">
        <v>394</v>
      </c>
      <c r="AD209" s="56"/>
      <c r="AE209" s="56"/>
      <c r="AF209" s="17"/>
      <c r="AG209" s="17"/>
      <c r="AH209" s="17"/>
      <c r="AI209" s="14">
        <f t="shared" si="35"/>
        <v>-1</v>
      </c>
      <c r="AJ209" s="29">
        <v>1</v>
      </c>
      <c r="AK209" s="14" t="str">
        <f t="shared" si="36"/>
        <v/>
      </c>
      <c r="AL209" s="56"/>
      <c r="AM209" s="8"/>
      <c r="AN209" s="8"/>
      <c r="AO209" s="14">
        <f t="shared" si="37"/>
        <v>-1</v>
      </c>
      <c r="AP209" s="29"/>
      <c r="AQ209" s="14" t="str">
        <f t="shared" si="38"/>
        <v>[1349,-1,0];</v>
      </c>
      <c r="AR209" s="56"/>
      <c r="AS209" s="8"/>
      <c r="AT209" s="8"/>
      <c r="AU209" s="14">
        <v>-1</v>
      </c>
      <c r="AV209" s="29"/>
      <c r="AW209" s="14" t="str">
        <f t="shared" si="39"/>
        <v>[1349,-1,0];</v>
      </c>
      <c r="AX209" s="56"/>
      <c r="BA209" s="1">
        <v>1</v>
      </c>
    </row>
    <row r="210" spans="2:53">
      <c r="B210" s="14">
        <v>1350</v>
      </c>
      <c r="C210" s="16" t="s">
        <v>398</v>
      </c>
      <c r="D210" s="15">
        <v>100350</v>
      </c>
      <c r="E210" s="17">
        <v>7</v>
      </c>
      <c r="F210" s="17"/>
      <c r="G210" s="17"/>
      <c r="H210" s="17"/>
      <c r="I210" s="29"/>
      <c r="J210" s="29"/>
      <c r="K210" s="29" t="s">
        <v>399</v>
      </c>
      <c r="L210" s="17"/>
      <c r="M210" s="17">
        <v>1</v>
      </c>
      <c r="N210" s="29"/>
      <c r="O210" s="29"/>
      <c r="P210" s="29"/>
      <c r="Q210" s="29">
        <v>110</v>
      </c>
      <c r="R210" s="38" t="s">
        <v>68</v>
      </c>
      <c r="S210" s="38" t="s">
        <v>68</v>
      </c>
      <c r="T210" s="17"/>
      <c r="U210" s="17" t="s">
        <v>69</v>
      </c>
      <c r="V210" s="17"/>
      <c r="W210" s="17">
        <v>1</v>
      </c>
      <c r="X210" s="17"/>
      <c r="Y210" s="53"/>
      <c r="Z210" s="16"/>
      <c r="AA210" s="54"/>
      <c r="AB210" s="17">
        <v>0</v>
      </c>
      <c r="AC210" s="55"/>
      <c r="AD210" s="56"/>
      <c r="AE210" s="56"/>
      <c r="AF210" s="17"/>
      <c r="AG210" s="17"/>
      <c r="AH210" s="17"/>
      <c r="AI210" s="14">
        <f t="shared" si="35"/>
        <v>0</v>
      </c>
      <c r="AJ210" s="29">
        <v>1</v>
      </c>
      <c r="AK210" s="14" t="str">
        <f t="shared" si="36"/>
        <v/>
      </c>
      <c r="AL210" s="56"/>
      <c r="AO210" s="14">
        <f t="shared" si="37"/>
        <v>0</v>
      </c>
      <c r="AP210" s="29"/>
      <c r="AQ210" s="14" t="str">
        <f t="shared" si="38"/>
        <v>[1350,0,0];</v>
      </c>
      <c r="AR210" s="56"/>
      <c r="AU210" s="14">
        <v>0</v>
      </c>
      <c r="AV210" s="29"/>
      <c r="AW210" s="14" t="str">
        <f t="shared" si="39"/>
        <v>[1350,0,0];</v>
      </c>
      <c r="AX210" s="56"/>
      <c r="BA210" s="8">
        <v>1</v>
      </c>
    </row>
    <row r="211" spans="2:53">
      <c r="B211" s="14">
        <v>1351</v>
      </c>
      <c r="C211" s="16" t="s">
        <v>400</v>
      </c>
      <c r="D211" s="15">
        <v>100351</v>
      </c>
      <c r="E211" s="17">
        <v>7</v>
      </c>
      <c r="F211" s="17"/>
      <c r="G211" s="17"/>
      <c r="H211" s="17"/>
      <c r="I211" s="29"/>
      <c r="J211" s="29"/>
      <c r="K211" s="29" t="s">
        <v>399</v>
      </c>
      <c r="L211" s="17"/>
      <c r="M211" s="17">
        <v>1</v>
      </c>
      <c r="N211" s="29"/>
      <c r="O211" s="29"/>
      <c r="P211" s="29"/>
      <c r="Q211" s="29">
        <v>110</v>
      </c>
      <c r="R211" s="38" t="s">
        <v>68</v>
      </c>
      <c r="S211" s="38" t="s">
        <v>68</v>
      </c>
      <c r="T211" s="17"/>
      <c r="U211" s="17" t="s">
        <v>69</v>
      </c>
      <c r="V211" s="17"/>
      <c r="W211" s="17">
        <v>1</v>
      </c>
      <c r="X211" s="17"/>
      <c r="Y211" s="53"/>
      <c r="Z211" s="16"/>
      <c r="AA211" s="54"/>
      <c r="AB211" s="17">
        <v>0</v>
      </c>
      <c r="AC211" s="55"/>
      <c r="AD211" s="56"/>
      <c r="AE211" s="56"/>
      <c r="AF211" s="17"/>
      <c r="AG211" s="17"/>
      <c r="AH211" s="17"/>
      <c r="AI211" s="14">
        <f t="shared" si="35"/>
        <v>0</v>
      </c>
      <c r="AJ211" s="29">
        <v>1</v>
      </c>
      <c r="AK211" s="14" t="str">
        <f t="shared" si="36"/>
        <v/>
      </c>
      <c r="AL211" s="56"/>
      <c r="AO211" s="14">
        <f t="shared" si="37"/>
        <v>0</v>
      </c>
      <c r="AP211" s="29"/>
      <c r="AQ211" s="14" t="str">
        <f t="shared" si="38"/>
        <v>[1351,0,0];</v>
      </c>
      <c r="AR211" s="56"/>
      <c r="AU211" s="14">
        <v>0</v>
      </c>
      <c r="AV211" s="29"/>
      <c r="AW211" s="14" t="str">
        <f t="shared" si="39"/>
        <v>[1351,0,0];</v>
      </c>
      <c r="AX211" s="56"/>
      <c r="BA211" s="8">
        <v>1</v>
      </c>
    </row>
    <row r="212" spans="2:53">
      <c r="B212" s="14">
        <v>1352</v>
      </c>
      <c r="C212" s="16" t="s">
        <v>401</v>
      </c>
      <c r="D212" s="15">
        <v>100352</v>
      </c>
      <c r="E212" s="17">
        <v>7</v>
      </c>
      <c r="F212" s="17"/>
      <c r="G212" s="17"/>
      <c r="H212" s="17"/>
      <c r="I212" s="29"/>
      <c r="J212" s="29"/>
      <c r="K212" s="29" t="s">
        <v>399</v>
      </c>
      <c r="L212" s="17"/>
      <c r="M212" s="17">
        <v>1</v>
      </c>
      <c r="N212" s="29"/>
      <c r="O212" s="29"/>
      <c r="P212" s="29"/>
      <c r="Q212" s="29">
        <v>110</v>
      </c>
      <c r="R212" s="38" t="s">
        <v>68</v>
      </c>
      <c r="S212" s="38" t="s">
        <v>68</v>
      </c>
      <c r="T212" s="17"/>
      <c r="U212" s="17" t="s">
        <v>69</v>
      </c>
      <c r="V212" s="17"/>
      <c r="W212" s="17">
        <v>1</v>
      </c>
      <c r="X212" s="17"/>
      <c r="Y212" s="53"/>
      <c r="Z212" s="16"/>
      <c r="AA212" s="54"/>
      <c r="AB212" s="17">
        <v>0</v>
      </c>
      <c r="AC212" s="55"/>
      <c r="AD212" s="56"/>
      <c r="AE212" s="56"/>
      <c r="AF212" s="17"/>
      <c r="AG212" s="17"/>
      <c r="AH212" s="17"/>
      <c r="AI212" s="14">
        <f t="shared" si="35"/>
        <v>0</v>
      </c>
      <c r="AJ212" s="29">
        <v>1</v>
      </c>
      <c r="AK212" s="14" t="str">
        <f t="shared" si="36"/>
        <v/>
      </c>
      <c r="AL212" s="56"/>
      <c r="AO212" s="14">
        <f t="shared" si="37"/>
        <v>0</v>
      </c>
      <c r="AP212" s="29"/>
      <c r="AQ212" s="14" t="str">
        <f t="shared" si="38"/>
        <v>[1352,0,0];</v>
      </c>
      <c r="AR212" s="56"/>
      <c r="AU212" s="14">
        <v>0</v>
      </c>
      <c r="AV212" s="29"/>
      <c r="AW212" s="14" t="str">
        <f t="shared" si="39"/>
        <v>[1352,0,0];</v>
      </c>
      <c r="AX212" s="56"/>
      <c r="BA212" s="8">
        <v>1</v>
      </c>
    </row>
    <row r="213" spans="2:53">
      <c r="B213" s="14">
        <v>1353</v>
      </c>
      <c r="C213" s="16" t="s">
        <v>402</v>
      </c>
      <c r="D213" s="15">
        <v>100353</v>
      </c>
      <c r="E213" s="17">
        <v>7</v>
      </c>
      <c r="F213" s="17"/>
      <c r="G213" s="17"/>
      <c r="H213" s="17"/>
      <c r="I213" s="29"/>
      <c r="J213" s="29"/>
      <c r="K213" s="29" t="s">
        <v>399</v>
      </c>
      <c r="L213" s="17"/>
      <c r="M213" s="17">
        <v>1</v>
      </c>
      <c r="N213" s="29"/>
      <c r="O213" s="29"/>
      <c r="P213" s="29"/>
      <c r="Q213" s="29">
        <v>110</v>
      </c>
      <c r="R213" s="38" t="s">
        <v>68</v>
      </c>
      <c r="S213" s="38" t="s">
        <v>68</v>
      </c>
      <c r="T213" s="17"/>
      <c r="U213" s="17" t="s">
        <v>69</v>
      </c>
      <c r="V213" s="17"/>
      <c r="W213" s="17">
        <v>1</v>
      </c>
      <c r="X213" s="17"/>
      <c r="Y213" s="53"/>
      <c r="Z213" s="16"/>
      <c r="AA213" s="54"/>
      <c r="AB213" s="17">
        <v>0</v>
      </c>
      <c r="AC213" s="55"/>
      <c r="AD213" s="56"/>
      <c r="AE213" s="56"/>
      <c r="AF213" s="17"/>
      <c r="AG213" s="17"/>
      <c r="AH213" s="17"/>
      <c r="AI213" s="14">
        <f t="shared" si="35"/>
        <v>0</v>
      </c>
      <c r="AJ213" s="29">
        <v>1</v>
      </c>
      <c r="AK213" s="14" t="str">
        <f>IF(AJ213=1,"",IF(#REF!="","["&amp;B213&amp;","&amp;AI213&amp;",0]","["&amp;B213&amp;","&amp;AI213&amp;",0];"))</f>
        <v/>
      </c>
      <c r="AL213" s="56"/>
      <c r="AO213" s="14">
        <f t="shared" si="37"/>
        <v>0</v>
      </c>
      <c r="AP213" s="29"/>
      <c r="AQ213" s="14" t="e">
        <f>IF(AP213=1,"",IF(#REF!="","["&amp;B213&amp;","&amp;AO213&amp;",0]","["&amp;B213&amp;","&amp;AO213&amp;",0];"))</f>
        <v>#REF!</v>
      </c>
      <c r="AR213" s="56"/>
      <c r="AU213" s="14">
        <v>0</v>
      </c>
      <c r="AV213" s="29">
        <v>1</v>
      </c>
      <c r="AW213" s="14" t="str">
        <f>IF(AV213=1,"",IF(#REF!="","["&amp;B213&amp;","&amp;AU213&amp;",0]","["&amp;B213&amp;","&amp;AU213&amp;",0];"))</f>
        <v/>
      </c>
      <c r="AX213" s="56"/>
      <c r="BA213" s="8">
        <v>1</v>
      </c>
    </row>
    <row r="214" customFormat="1" spans="1:53">
      <c r="A214" s="7"/>
      <c r="B214" s="14">
        <v>1378</v>
      </c>
      <c r="C214" s="16" t="s">
        <v>403</v>
      </c>
      <c r="D214" s="15">
        <v>100378</v>
      </c>
      <c r="E214" s="17"/>
      <c r="F214" s="17"/>
      <c r="G214" s="17"/>
      <c r="H214" s="17"/>
      <c r="I214" s="29"/>
      <c r="J214" s="29"/>
      <c r="K214" s="29"/>
      <c r="L214" s="17"/>
      <c r="M214" s="17"/>
      <c r="N214" s="29"/>
      <c r="O214" s="29"/>
      <c r="P214" s="29"/>
      <c r="Q214" s="29"/>
      <c r="R214" s="38"/>
      <c r="S214" s="38"/>
      <c r="T214" s="17"/>
      <c r="U214" s="17"/>
      <c r="V214" s="17"/>
      <c r="W214" s="17"/>
      <c r="X214" s="17"/>
      <c r="Y214" s="53"/>
      <c r="Z214" s="16"/>
      <c r="AA214" s="54"/>
      <c r="AB214" s="17" t="s">
        <v>169</v>
      </c>
      <c r="AC214" s="55" t="s">
        <v>404</v>
      </c>
      <c r="AD214" s="56"/>
      <c r="AE214" s="17"/>
      <c r="AF214" s="17"/>
      <c r="AG214" s="17"/>
      <c r="AH214" s="17"/>
      <c r="AI214" s="14">
        <f t="shared" ref="AI214:AI225" si="40">IF(AA214="",0,AA214)</f>
        <v>0</v>
      </c>
      <c r="AJ214" s="29">
        <v>1</v>
      </c>
      <c r="AK214" s="14" t="str">
        <f t="shared" ref="AK214:AK220" si="41">IF(AJ214=1,"",IF(B215="","["&amp;B214&amp;","&amp;AI214&amp;",0]","["&amp;B214&amp;","&amp;AI214&amp;",0];"))</f>
        <v/>
      </c>
      <c r="AL214" s="56"/>
      <c r="AM214" s="8"/>
      <c r="AN214" s="8"/>
      <c r="AO214" s="14">
        <f t="shared" ref="AO214:AO225" si="42">IF(AA214="",0,AA214)</f>
        <v>0</v>
      </c>
      <c r="AP214" s="29"/>
      <c r="AQ214" s="14" t="str">
        <f t="shared" ref="AQ214:AQ220" si="43">IF(AP214=1,"",IF(B215="","["&amp;B214&amp;","&amp;AO214&amp;",0]","["&amp;B214&amp;","&amp;AO214&amp;",0];"))</f>
        <v>[1378,0,0];</v>
      </c>
      <c r="AR214" s="56"/>
      <c r="AS214" s="8"/>
      <c r="AT214" s="8"/>
      <c r="AU214" s="14">
        <v>0</v>
      </c>
      <c r="AV214" s="29"/>
      <c r="AW214" s="14" t="str">
        <f t="shared" ref="AW214:AW219" si="44">IF(AV214=1,"",IF(B215="","["&amp;B214&amp;","&amp;AU214&amp;",0]","["&amp;B214&amp;","&amp;AU214&amp;",0];"))</f>
        <v>[1378,0,0];</v>
      </c>
      <c r="AX214" s="56"/>
      <c r="BA214" s="8">
        <v>1</v>
      </c>
    </row>
    <row r="215" ht="40.5" spans="2:53">
      <c r="B215" s="14">
        <v>1379</v>
      </c>
      <c r="C215" s="16" t="s">
        <v>405</v>
      </c>
      <c r="D215" s="15">
        <v>100379</v>
      </c>
      <c r="E215" s="17"/>
      <c r="F215" s="17"/>
      <c r="G215" s="17"/>
      <c r="H215" s="17"/>
      <c r="I215" s="29"/>
      <c r="J215" s="29"/>
      <c r="K215" s="29"/>
      <c r="L215" s="17"/>
      <c r="M215" s="17">
        <v>1</v>
      </c>
      <c r="N215" s="29"/>
      <c r="O215" s="29"/>
      <c r="P215" s="103" t="s">
        <v>406</v>
      </c>
      <c r="Q215" s="17">
        <v>110</v>
      </c>
      <c r="R215" s="38" t="s">
        <v>68</v>
      </c>
      <c r="S215" s="38" t="s">
        <v>68</v>
      </c>
      <c r="T215" s="17"/>
      <c r="U215" s="17" t="s">
        <v>69</v>
      </c>
      <c r="V215" s="17"/>
      <c r="W215" s="17">
        <v>1</v>
      </c>
      <c r="X215" s="53"/>
      <c r="Y215" s="16"/>
      <c r="Z215" s="54"/>
      <c r="AA215" s="54"/>
      <c r="AB215" s="17" t="s">
        <v>407</v>
      </c>
      <c r="AC215" s="55" t="s">
        <v>408</v>
      </c>
      <c r="AD215" s="56"/>
      <c r="AE215" s="17"/>
      <c r="AF215" s="17"/>
      <c r="AG215" s="17"/>
      <c r="AH215" s="17"/>
      <c r="AI215" s="14">
        <f t="shared" si="40"/>
        <v>0</v>
      </c>
      <c r="AJ215" s="29">
        <v>1</v>
      </c>
      <c r="AK215" s="14" t="str">
        <f t="shared" si="41"/>
        <v/>
      </c>
      <c r="AL215" s="56"/>
      <c r="AO215" s="14">
        <f t="shared" si="42"/>
        <v>0</v>
      </c>
      <c r="AP215" s="29"/>
      <c r="AQ215" s="14" t="str">
        <f t="shared" si="43"/>
        <v>[1379,0,0];</v>
      </c>
      <c r="AR215" s="56"/>
      <c r="AU215" s="14">
        <v>0</v>
      </c>
      <c r="AV215" s="29"/>
      <c r="AW215" s="14" t="str">
        <f t="shared" si="44"/>
        <v>[1379,0,0];</v>
      </c>
      <c r="AX215" s="56"/>
      <c r="BA215" s="8">
        <v>1</v>
      </c>
    </row>
    <row r="216" ht="40.5" spans="2:53">
      <c r="B216" s="14">
        <v>1380</v>
      </c>
      <c r="C216" s="16" t="s">
        <v>409</v>
      </c>
      <c r="D216" s="15">
        <v>100380</v>
      </c>
      <c r="E216" s="17"/>
      <c r="F216" s="17"/>
      <c r="G216" s="17"/>
      <c r="H216" s="17"/>
      <c r="I216" s="29"/>
      <c r="J216" s="29"/>
      <c r="K216" s="29"/>
      <c r="L216" s="17"/>
      <c r="M216" s="17">
        <v>1</v>
      </c>
      <c r="N216" s="29"/>
      <c r="O216" s="29"/>
      <c r="P216" s="29"/>
      <c r="Q216" s="29"/>
      <c r="R216" s="38" t="s">
        <v>68</v>
      </c>
      <c r="S216" s="38" t="s">
        <v>68</v>
      </c>
      <c r="T216" s="17"/>
      <c r="U216" s="17" t="s">
        <v>69</v>
      </c>
      <c r="V216" s="17"/>
      <c r="W216" s="17">
        <v>1</v>
      </c>
      <c r="X216" s="17"/>
      <c r="Y216" s="53"/>
      <c r="Z216" s="16"/>
      <c r="AA216" s="54"/>
      <c r="AB216" s="55" t="s">
        <v>70</v>
      </c>
      <c r="AC216" s="55" t="s">
        <v>71</v>
      </c>
      <c r="AD216" s="56" t="s">
        <v>410</v>
      </c>
      <c r="AE216" s="56"/>
      <c r="AF216" s="17"/>
      <c r="AG216" s="17"/>
      <c r="AH216" s="17"/>
      <c r="AI216" s="14">
        <f t="shared" si="40"/>
        <v>0</v>
      </c>
      <c r="AJ216" s="29">
        <v>1</v>
      </c>
      <c r="AK216" s="14" t="str">
        <f t="shared" si="41"/>
        <v/>
      </c>
      <c r="AL216" s="56"/>
      <c r="AO216" s="14">
        <f t="shared" si="42"/>
        <v>0</v>
      </c>
      <c r="AP216" s="29"/>
      <c r="AQ216" s="14" t="str">
        <f t="shared" si="43"/>
        <v>[1380,0,0];</v>
      </c>
      <c r="AR216" s="56"/>
      <c r="AU216" s="14">
        <v>0</v>
      </c>
      <c r="AV216" s="29"/>
      <c r="AW216" s="14" t="str">
        <f t="shared" si="44"/>
        <v>[1380,0,0];</v>
      </c>
      <c r="AX216" s="56"/>
      <c r="BA216" s="8">
        <v>1</v>
      </c>
    </row>
    <row r="217" spans="2:53">
      <c r="B217" s="14">
        <v>1381</v>
      </c>
      <c r="C217" s="16" t="s">
        <v>411</v>
      </c>
      <c r="D217" s="15">
        <v>100381</v>
      </c>
      <c r="E217" s="17"/>
      <c r="F217" s="17"/>
      <c r="G217" s="17"/>
      <c r="H217" s="17"/>
      <c r="I217" s="29"/>
      <c r="J217" s="29"/>
      <c r="K217" s="29"/>
      <c r="L217" s="17"/>
      <c r="M217" s="17"/>
      <c r="N217" s="29"/>
      <c r="O217" s="29"/>
      <c r="P217" s="29"/>
      <c r="Q217" s="29"/>
      <c r="R217" s="38" t="s">
        <v>68</v>
      </c>
      <c r="S217" s="38" t="s">
        <v>68</v>
      </c>
      <c r="T217" s="17"/>
      <c r="U217" s="17" t="s">
        <v>69</v>
      </c>
      <c r="V217" s="17"/>
      <c r="W217" s="17">
        <v>1</v>
      </c>
      <c r="X217" s="17"/>
      <c r="Y217" s="53"/>
      <c r="Z217" s="16"/>
      <c r="AA217" s="54"/>
      <c r="AB217" s="17">
        <v>0</v>
      </c>
      <c r="AC217" s="55">
        <v>1</v>
      </c>
      <c r="AD217" s="55"/>
      <c r="AE217" s="55"/>
      <c r="AF217" s="17"/>
      <c r="AG217" s="17"/>
      <c r="AH217" s="17"/>
      <c r="AI217" s="14">
        <f t="shared" si="40"/>
        <v>0</v>
      </c>
      <c r="AJ217" s="29">
        <v>1</v>
      </c>
      <c r="AK217" s="14" t="str">
        <f t="shared" si="41"/>
        <v/>
      </c>
      <c r="AL217" s="56"/>
      <c r="AO217" s="14">
        <f t="shared" si="42"/>
        <v>0</v>
      </c>
      <c r="AP217" s="29">
        <v>1</v>
      </c>
      <c r="AQ217" s="14" t="str">
        <f t="shared" si="43"/>
        <v/>
      </c>
      <c r="AR217" s="56"/>
      <c r="AU217" s="14">
        <v>0</v>
      </c>
      <c r="AV217" s="29">
        <v>1</v>
      </c>
      <c r="AW217" s="14" t="str">
        <f t="shared" si="44"/>
        <v/>
      </c>
      <c r="AX217" s="56"/>
      <c r="BA217" s="8">
        <v>1</v>
      </c>
    </row>
    <row r="218" ht="40.5" spans="2:53">
      <c r="B218" s="14">
        <v>1382</v>
      </c>
      <c r="C218" s="16" t="s">
        <v>412</v>
      </c>
      <c r="D218" s="15">
        <v>100382</v>
      </c>
      <c r="E218" s="17"/>
      <c r="F218" s="17"/>
      <c r="G218" s="17"/>
      <c r="H218" s="17"/>
      <c r="I218" s="29"/>
      <c r="J218" s="29"/>
      <c r="K218" s="29"/>
      <c r="L218" s="17"/>
      <c r="M218" s="17">
        <v>1</v>
      </c>
      <c r="N218" s="29"/>
      <c r="O218" s="29"/>
      <c r="P218" s="104" t="s">
        <v>413</v>
      </c>
      <c r="Q218" s="29">
        <v>110</v>
      </c>
      <c r="R218" s="38" t="s">
        <v>68</v>
      </c>
      <c r="S218" s="38" t="s">
        <v>68</v>
      </c>
      <c r="T218" s="17"/>
      <c r="U218" s="17" t="s">
        <v>69</v>
      </c>
      <c r="V218" s="17"/>
      <c r="W218" s="17">
        <v>1</v>
      </c>
      <c r="X218" s="17"/>
      <c r="Y218" s="53"/>
      <c r="Z218" s="16"/>
      <c r="AA218" s="54"/>
      <c r="AB218" s="17" t="s">
        <v>407</v>
      </c>
      <c r="AC218" s="55" t="s">
        <v>408</v>
      </c>
      <c r="AD218" s="56"/>
      <c r="AE218" s="17"/>
      <c r="AF218" s="17"/>
      <c r="AG218" s="17"/>
      <c r="AH218" s="17"/>
      <c r="AI218" s="14">
        <f t="shared" si="40"/>
        <v>0</v>
      </c>
      <c r="AJ218" s="29">
        <v>1</v>
      </c>
      <c r="AK218" s="14" t="str">
        <f t="shared" si="41"/>
        <v/>
      </c>
      <c r="AL218" s="56"/>
      <c r="AO218" s="14">
        <f t="shared" si="42"/>
        <v>0</v>
      </c>
      <c r="AP218" s="29"/>
      <c r="AQ218" s="14" t="str">
        <f t="shared" si="43"/>
        <v>[1382,0,0];</v>
      </c>
      <c r="AR218" s="56"/>
      <c r="AU218" s="14">
        <v>0</v>
      </c>
      <c r="AV218" s="29"/>
      <c r="AW218" s="14" t="str">
        <f t="shared" si="44"/>
        <v>[1382,0,0];</v>
      </c>
      <c r="AX218" s="56"/>
      <c r="BA218" s="8">
        <v>1</v>
      </c>
    </row>
    <row r="219" ht="40.5" spans="2:53">
      <c r="B219" s="14">
        <v>1383</v>
      </c>
      <c r="C219" s="16" t="s">
        <v>414</v>
      </c>
      <c r="D219" s="15">
        <v>100383</v>
      </c>
      <c r="E219" s="17"/>
      <c r="F219" s="17"/>
      <c r="G219" s="17"/>
      <c r="H219" s="17"/>
      <c r="I219" s="29"/>
      <c r="J219" s="29"/>
      <c r="K219" s="29"/>
      <c r="L219" s="17"/>
      <c r="M219" s="17">
        <v>1</v>
      </c>
      <c r="N219" s="29"/>
      <c r="O219" s="29"/>
      <c r="P219" s="29"/>
      <c r="Q219" s="29"/>
      <c r="R219" s="38" t="s">
        <v>68</v>
      </c>
      <c r="S219" s="38" t="s">
        <v>68</v>
      </c>
      <c r="T219" s="17"/>
      <c r="U219" s="17" t="s">
        <v>69</v>
      </c>
      <c r="V219" s="17"/>
      <c r="W219" s="17">
        <v>1</v>
      </c>
      <c r="X219" s="17"/>
      <c r="Y219" s="53"/>
      <c r="Z219" s="16"/>
      <c r="AA219" s="54"/>
      <c r="AB219" s="55" t="s">
        <v>70</v>
      </c>
      <c r="AC219" s="55" t="s">
        <v>71</v>
      </c>
      <c r="AD219" s="56"/>
      <c r="AE219" s="56"/>
      <c r="AF219" s="17"/>
      <c r="AG219" s="17"/>
      <c r="AH219" s="17"/>
      <c r="AI219" s="14">
        <f t="shared" si="40"/>
        <v>0</v>
      </c>
      <c r="AJ219" s="29">
        <v>1</v>
      </c>
      <c r="AK219" s="14" t="str">
        <f t="shared" si="41"/>
        <v/>
      </c>
      <c r="AL219" s="56"/>
      <c r="AO219" s="14">
        <f t="shared" si="42"/>
        <v>0</v>
      </c>
      <c r="AP219" s="29"/>
      <c r="AQ219" s="14" t="str">
        <f t="shared" si="43"/>
        <v>[1383,0,0];</v>
      </c>
      <c r="AR219" s="56"/>
      <c r="AU219" s="14">
        <v>0</v>
      </c>
      <c r="AV219" s="29"/>
      <c r="AW219" s="14" t="str">
        <f t="shared" si="44"/>
        <v>[1383,0,0];</v>
      </c>
      <c r="AX219" s="56"/>
      <c r="BA219" s="8">
        <v>1</v>
      </c>
    </row>
    <row r="220" ht="40.5" spans="2:50">
      <c r="B220" s="14">
        <v>1384</v>
      </c>
      <c r="C220" s="16" t="s">
        <v>415</v>
      </c>
      <c r="D220" s="15">
        <v>100384</v>
      </c>
      <c r="E220" s="17"/>
      <c r="F220" s="17"/>
      <c r="G220" s="17"/>
      <c r="H220" s="17"/>
      <c r="I220" s="29"/>
      <c r="J220" s="29"/>
      <c r="K220" s="29"/>
      <c r="L220" s="17"/>
      <c r="M220" s="17">
        <v>1</v>
      </c>
      <c r="N220" s="29"/>
      <c r="O220" s="29"/>
      <c r="P220" s="104" t="s">
        <v>416</v>
      </c>
      <c r="Q220" s="29">
        <v>110</v>
      </c>
      <c r="R220" s="38" t="s">
        <v>68</v>
      </c>
      <c r="S220" s="38" t="s">
        <v>68</v>
      </c>
      <c r="T220" s="17"/>
      <c r="U220" s="17" t="s">
        <v>69</v>
      </c>
      <c r="V220" s="17"/>
      <c r="W220" s="17">
        <v>1</v>
      </c>
      <c r="X220" s="17"/>
      <c r="Y220" s="53"/>
      <c r="Z220" s="16"/>
      <c r="AA220" s="54"/>
      <c r="AB220" s="17" t="s">
        <v>407</v>
      </c>
      <c r="AC220" s="55" t="s">
        <v>408</v>
      </c>
      <c r="AD220" s="56"/>
      <c r="AE220" s="17"/>
      <c r="AF220" s="17"/>
      <c r="AG220" s="17"/>
      <c r="AH220" s="17"/>
      <c r="AI220" s="14">
        <f t="shared" si="40"/>
        <v>0</v>
      </c>
      <c r="AJ220" s="29">
        <v>1</v>
      </c>
      <c r="AK220" s="14" t="str">
        <f t="shared" si="41"/>
        <v/>
      </c>
      <c r="AL220" s="56"/>
      <c r="AO220" s="14">
        <f t="shared" si="42"/>
        <v>0</v>
      </c>
      <c r="AP220" s="29"/>
      <c r="AQ220" s="14" t="str">
        <f t="shared" si="43"/>
        <v>[1384,0,0];</v>
      </c>
      <c r="AR220" s="56"/>
      <c r="AU220" s="14">
        <v>0</v>
      </c>
      <c r="AV220" s="29"/>
      <c r="AW220" s="14" t="str">
        <f t="shared" ref="AW220:AW283" si="45">IF(AV220=1,"",IF(B221="","["&amp;B220&amp;","&amp;AU220&amp;",0]","["&amp;B220&amp;","&amp;AU220&amp;",0];"))</f>
        <v>[1384,0,0];</v>
      </c>
      <c r="AX220" s="56"/>
    </row>
    <row r="221" ht="40.5" spans="2:53">
      <c r="B221" s="14">
        <v>1385</v>
      </c>
      <c r="C221" s="16" t="s">
        <v>417</v>
      </c>
      <c r="D221" s="15">
        <v>100385</v>
      </c>
      <c r="E221" s="17"/>
      <c r="F221" s="17"/>
      <c r="G221" s="17"/>
      <c r="H221" s="17"/>
      <c r="I221" s="29"/>
      <c r="J221" s="29"/>
      <c r="K221" s="29"/>
      <c r="L221" s="17"/>
      <c r="M221" s="17">
        <v>1</v>
      </c>
      <c r="N221" s="29"/>
      <c r="O221" s="29"/>
      <c r="P221" s="29"/>
      <c r="Q221" s="29"/>
      <c r="R221" s="38" t="s">
        <v>68</v>
      </c>
      <c r="S221" s="38" t="s">
        <v>68</v>
      </c>
      <c r="T221" s="17"/>
      <c r="U221" s="17" t="s">
        <v>69</v>
      </c>
      <c r="V221" s="17"/>
      <c r="W221" s="17">
        <v>1</v>
      </c>
      <c r="X221" s="17"/>
      <c r="Y221" s="53"/>
      <c r="Z221" s="16"/>
      <c r="AA221" s="54"/>
      <c r="AB221" s="55" t="s">
        <v>70</v>
      </c>
      <c r="AC221" s="55" t="s">
        <v>71</v>
      </c>
      <c r="AD221" s="56"/>
      <c r="AE221" s="56"/>
      <c r="AF221" s="17"/>
      <c r="AG221" s="17"/>
      <c r="AH221" s="17"/>
      <c r="AI221" s="14">
        <f t="shared" si="40"/>
        <v>0</v>
      </c>
      <c r="AJ221" s="29">
        <v>1</v>
      </c>
      <c r="AK221" s="14" t="str">
        <f t="shared" ref="AK221:AK284" si="46">IF(AJ221=1,"",IF(B222="","["&amp;B221&amp;","&amp;AI221&amp;",0]","["&amp;B221&amp;","&amp;AI221&amp;",0];"))</f>
        <v/>
      </c>
      <c r="AL221" s="56"/>
      <c r="AO221" s="14">
        <f t="shared" si="42"/>
        <v>0</v>
      </c>
      <c r="AP221" s="29"/>
      <c r="AQ221" s="14" t="str">
        <f t="shared" ref="AQ221:AQ284" si="47">IF(AP221=1,"",IF(B222="","["&amp;B221&amp;","&amp;AO221&amp;",0]","["&amp;B221&amp;","&amp;AO221&amp;",0];"))</f>
        <v>[1385,0,0];</v>
      </c>
      <c r="AR221" s="56"/>
      <c r="AU221" s="14">
        <v>0</v>
      </c>
      <c r="AV221" s="29"/>
      <c r="AW221" s="14" t="str">
        <f t="shared" si="45"/>
        <v>[1385,0,0];</v>
      </c>
      <c r="AX221" s="56"/>
      <c r="BA221" s="8">
        <v>1</v>
      </c>
    </row>
    <row r="222" ht="40.5" spans="2:50">
      <c r="B222" s="14">
        <v>1386</v>
      </c>
      <c r="C222" s="16" t="s">
        <v>418</v>
      </c>
      <c r="D222" s="15">
        <v>100386</v>
      </c>
      <c r="E222" s="17"/>
      <c r="F222" s="17"/>
      <c r="G222" s="17"/>
      <c r="H222" s="17"/>
      <c r="I222" s="29"/>
      <c r="J222" s="29"/>
      <c r="K222" s="29"/>
      <c r="L222" s="17"/>
      <c r="M222" s="17">
        <v>1</v>
      </c>
      <c r="N222" s="29"/>
      <c r="O222" s="29"/>
      <c r="P222" s="104" t="s">
        <v>419</v>
      </c>
      <c r="Q222" s="29">
        <v>110</v>
      </c>
      <c r="R222" s="38" t="s">
        <v>68</v>
      </c>
      <c r="S222" s="38" t="s">
        <v>68</v>
      </c>
      <c r="T222" s="17"/>
      <c r="U222" s="17" t="s">
        <v>69</v>
      </c>
      <c r="V222" s="17"/>
      <c r="W222" s="17">
        <v>1</v>
      </c>
      <c r="X222" s="17"/>
      <c r="Y222" s="53"/>
      <c r="Z222" s="16"/>
      <c r="AA222" s="54"/>
      <c r="AB222" s="17" t="s">
        <v>407</v>
      </c>
      <c r="AC222" s="55" t="s">
        <v>408</v>
      </c>
      <c r="AD222" s="56"/>
      <c r="AE222" s="17"/>
      <c r="AF222" s="17"/>
      <c r="AG222" s="17"/>
      <c r="AH222" s="17"/>
      <c r="AI222" s="14">
        <f t="shared" si="40"/>
        <v>0</v>
      </c>
      <c r="AJ222" s="29">
        <v>1</v>
      </c>
      <c r="AK222" s="14" t="str">
        <f t="shared" si="46"/>
        <v/>
      </c>
      <c r="AL222" s="56"/>
      <c r="AO222" s="14">
        <f t="shared" si="42"/>
        <v>0</v>
      </c>
      <c r="AP222" s="29"/>
      <c r="AQ222" s="14" t="str">
        <f t="shared" si="47"/>
        <v>[1386,0,0];</v>
      </c>
      <c r="AR222" s="56"/>
      <c r="AU222" s="14">
        <v>0</v>
      </c>
      <c r="AV222" s="29"/>
      <c r="AW222" s="14" t="str">
        <f t="shared" si="45"/>
        <v>[1386,0,0];</v>
      </c>
      <c r="AX222" s="56"/>
    </row>
    <row r="223" s="1" customFormat="1" ht="40.5" spans="1:53">
      <c r="A223" s="18" t="s">
        <v>22</v>
      </c>
      <c r="B223" s="14">
        <v>1387</v>
      </c>
      <c r="C223" s="16" t="s">
        <v>420</v>
      </c>
      <c r="D223" s="15">
        <v>100387</v>
      </c>
      <c r="E223" s="17"/>
      <c r="F223" s="17"/>
      <c r="G223" s="17"/>
      <c r="H223" s="17"/>
      <c r="I223" s="29"/>
      <c r="J223" s="29"/>
      <c r="K223" s="29"/>
      <c r="L223" s="17"/>
      <c r="M223" s="17">
        <v>1</v>
      </c>
      <c r="N223" s="29"/>
      <c r="O223" s="29"/>
      <c r="P223" s="29"/>
      <c r="Q223" s="29"/>
      <c r="R223" s="38" t="s">
        <v>68</v>
      </c>
      <c r="S223" s="38" t="s">
        <v>68</v>
      </c>
      <c r="T223" s="17"/>
      <c r="U223" s="17" t="s">
        <v>69</v>
      </c>
      <c r="V223" s="17"/>
      <c r="W223" s="17">
        <v>1</v>
      </c>
      <c r="X223" s="17"/>
      <c r="Y223" s="53"/>
      <c r="Z223" s="16"/>
      <c r="AA223" s="54"/>
      <c r="AB223" s="55" t="s">
        <v>70</v>
      </c>
      <c r="AC223" s="55" t="s">
        <v>71</v>
      </c>
      <c r="AD223" s="56"/>
      <c r="AE223" s="56"/>
      <c r="AF223" s="17"/>
      <c r="AG223" s="17"/>
      <c r="AH223" s="17"/>
      <c r="AI223" s="14">
        <f t="shared" si="40"/>
        <v>0</v>
      </c>
      <c r="AJ223" s="29">
        <v>1</v>
      </c>
      <c r="AK223" s="14" t="str">
        <f t="shared" si="46"/>
        <v/>
      </c>
      <c r="AL223" s="56"/>
      <c r="AM223" s="8"/>
      <c r="AN223" s="8"/>
      <c r="AO223" s="14">
        <f t="shared" si="42"/>
        <v>0</v>
      </c>
      <c r="AP223" s="29"/>
      <c r="AQ223" s="14" t="str">
        <f t="shared" si="47"/>
        <v>[1387,0,0];</v>
      </c>
      <c r="AR223" s="56"/>
      <c r="AS223" s="8"/>
      <c r="AT223" s="8"/>
      <c r="AU223" s="14">
        <v>0</v>
      </c>
      <c r="AV223" s="29"/>
      <c r="AW223" s="14" t="str">
        <f t="shared" si="45"/>
        <v>[1387,0,0];</v>
      </c>
      <c r="AX223" s="56"/>
      <c r="BA223" s="1">
        <v>1</v>
      </c>
    </row>
    <row r="224" s="1" customFormat="1" ht="40.5" spans="1:53">
      <c r="A224" s="18" t="s">
        <v>22</v>
      </c>
      <c r="B224" s="14">
        <v>1388</v>
      </c>
      <c r="C224" s="16" t="s">
        <v>421</v>
      </c>
      <c r="D224" s="15">
        <v>100388</v>
      </c>
      <c r="E224" s="17"/>
      <c r="F224" s="17"/>
      <c r="G224" s="17"/>
      <c r="H224" s="17"/>
      <c r="I224" s="29"/>
      <c r="J224" s="29"/>
      <c r="K224" s="29"/>
      <c r="L224" s="17"/>
      <c r="M224" s="17">
        <v>1</v>
      </c>
      <c r="N224" s="29"/>
      <c r="O224" s="29"/>
      <c r="P224" s="104" t="s">
        <v>422</v>
      </c>
      <c r="Q224" s="29">
        <v>110</v>
      </c>
      <c r="R224" s="38" t="s">
        <v>68</v>
      </c>
      <c r="S224" s="38" t="s">
        <v>68</v>
      </c>
      <c r="T224" s="17"/>
      <c r="U224" s="17" t="s">
        <v>69</v>
      </c>
      <c r="V224" s="17"/>
      <c r="W224" s="17">
        <v>1</v>
      </c>
      <c r="X224" s="17"/>
      <c r="Y224" s="53"/>
      <c r="Z224" s="16"/>
      <c r="AA224" s="54"/>
      <c r="AB224" s="17" t="s">
        <v>407</v>
      </c>
      <c r="AC224" s="55" t="s">
        <v>408</v>
      </c>
      <c r="AD224" s="56"/>
      <c r="AE224" s="17"/>
      <c r="AF224" s="17"/>
      <c r="AG224" s="17"/>
      <c r="AH224" s="17"/>
      <c r="AI224" s="14">
        <f t="shared" si="40"/>
        <v>0</v>
      </c>
      <c r="AJ224" s="29">
        <v>1</v>
      </c>
      <c r="AK224" s="14" t="str">
        <f t="shared" si="46"/>
        <v/>
      </c>
      <c r="AL224" s="56"/>
      <c r="AM224" s="8"/>
      <c r="AN224" s="8"/>
      <c r="AO224" s="14">
        <f t="shared" si="42"/>
        <v>0</v>
      </c>
      <c r="AP224" s="29"/>
      <c r="AQ224" s="14" t="str">
        <f t="shared" si="47"/>
        <v>[1388,0,0];</v>
      </c>
      <c r="AR224" s="56"/>
      <c r="AS224" s="8"/>
      <c r="AT224" s="8"/>
      <c r="AU224" s="14">
        <v>0</v>
      </c>
      <c r="AV224" s="29"/>
      <c r="AW224" s="14" t="str">
        <f t="shared" si="45"/>
        <v>[1388,0,0];</v>
      </c>
      <c r="AX224" s="56"/>
      <c r="BA224" s="1">
        <v>1</v>
      </c>
    </row>
    <row r="225" ht="40.5" spans="2:53">
      <c r="B225" s="14">
        <v>1389</v>
      </c>
      <c r="C225" s="16" t="s">
        <v>423</v>
      </c>
      <c r="D225" s="15">
        <v>100389</v>
      </c>
      <c r="E225" s="17"/>
      <c r="F225" s="17"/>
      <c r="G225" s="17"/>
      <c r="H225" s="17"/>
      <c r="I225" s="29"/>
      <c r="J225" s="29"/>
      <c r="K225" s="29"/>
      <c r="L225" s="17"/>
      <c r="M225" s="17">
        <v>1</v>
      </c>
      <c r="N225" s="29"/>
      <c r="O225" s="29"/>
      <c r="P225" s="29"/>
      <c r="Q225" s="29"/>
      <c r="R225" s="38" t="s">
        <v>68</v>
      </c>
      <c r="S225" s="38" t="s">
        <v>68</v>
      </c>
      <c r="T225" s="17"/>
      <c r="U225" s="17" t="s">
        <v>69</v>
      </c>
      <c r="V225" s="17"/>
      <c r="W225" s="17">
        <v>1</v>
      </c>
      <c r="X225" s="17"/>
      <c r="Y225" s="53"/>
      <c r="Z225" s="16"/>
      <c r="AA225" s="54"/>
      <c r="AB225" s="55" t="s">
        <v>70</v>
      </c>
      <c r="AC225" s="55" t="s">
        <v>71</v>
      </c>
      <c r="AE225" s="56"/>
      <c r="AF225" s="17"/>
      <c r="AG225" s="17"/>
      <c r="AH225" s="17"/>
      <c r="AI225" s="14">
        <f t="shared" si="40"/>
        <v>0</v>
      </c>
      <c r="AJ225" s="29">
        <v>1</v>
      </c>
      <c r="AK225" s="14" t="str">
        <f t="shared" si="46"/>
        <v/>
      </c>
      <c r="AL225" s="56"/>
      <c r="AO225" s="14">
        <f t="shared" si="42"/>
        <v>0</v>
      </c>
      <c r="AP225" s="29"/>
      <c r="AQ225" s="14" t="str">
        <f t="shared" si="47"/>
        <v>[1389,0,0];</v>
      </c>
      <c r="AR225" s="56"/>
      <c r="AU225" s="14">
        <v>0</v>
      </c>
      <c r="AV225" s="29"/>
      <c r="AW225" s="14" t="str">
        <f t="shared" si="45"/>
        <v>[1389,0,0];</v>
      </c>
      <c r="AX225" s="56"/>
      <c r="BA225" s="8">
        <v>1</v>
      </c>
    </row>
    <row r="226" spans="2:53">
      <c r="B226" s="14">
        <v>1390</v>
      </c>
      <c r="C226" s="16" t="s">
        <v>424</v>
      </c>
      <c r="D226" s="15">
        <v>100390</v>
      </c>
      <c r="E226" s="17"/>
      <c r="F226" s="17"/>
      <c r="G226" s="17"/>
      <c r="H226" s="17"/>
      <c r="I226" s="29"/>
      <c r="J226" s="29"/>
      <c r="K226" s="29"/>
      <c r="L226" s="17"/>
      <c r="M226" s="17"/>
      <c r="N226" s="29"/>
      <c r="O226" s="29"/>
      <c r="P226" s="29"/>
      <c r="Q226" s="29"/>
      <c r="R226" s="38" t="s">
        <v>68</v>
      </c>
      <c r="S226" s="38" t="s">
        <v>68</v>
      </c>
      <c r="T226" s="17"/>
      <c r="U226" s="17" t="s">
        <v>162</v>
      </c>
      <c r="V226" s="17">
        <v>0</v>
      </c>
      <c r="W226" s="17"/>
      <c r="X226" s="17"/>
      <c r="Y226" s="53"/>
      <c r="Z226" s="16"/>
      <c r="AA226" s="54"/>
      <c r="AB226" s="17">
        <v>0</v>
      </c>
      <c r="AC226" s="17">
        <v>1</v>
      </c>
      <c r="AD226" s="17"/>
      <c r="AE226" s="17"/>
      <c r="AF226" s="17"/>
      <c r="AG226" s="17"/>
      <c r="AH226" s="17"/>
      <c r="AI226" s="14">
        <v>0</v>
      </c>
      <c r="AJ226" s="29">
        <v>1</v>
      </c>
      <c r="AK226" s="14" t="str">
        <f t="shared" si="46"/>
        <v/>
      </c>
      <c r="AL226" s="17"/>
      <c r="AO226" s="14">
        <v>0</v>
      </c>
      <c r="AP226" s="29"/>
      <c r="AQ226" s="14" t="str">
        <f t="shared" si="47"/>
        <v>[1390,0,0];</v>
      </c>
      <c r="AR226" s="17"/>
      <c r="AS226"/>
      <c r="AT226"/>
      <c r="AU226" s="14">
        <v>0</v>
      </c>
      <c r="AV226" s="29">
        <v>1</v>
      </c>
      <c r="AW226" s="14" t="str">
        <f t="shared" si="45"/>
        <v/>
      </c>
      <c r="AX226" s="17"/>
      <c r="BA226" s="8">
        <v>1</v>
      </c>
    </row>
    <row r="227" spans="2:53">
      <c r="B227" s="14">
        <v>1391</v>
      </c>
      <c r="C227" s="16" t="s">
        <v>425</v>
      </c>
      <c r="D227" s="15">
        <v>100391</v>
      </c>
      <c r="E227" s="17"/>
      <c r="F227" s="17"/>
      <c r="G227" s="17"/>
      <c r="H227" s="17"/>
      <c r="I227" s="29"/>
      <c r="J227" s="29"/>
      <c r="K227" s="29"/>
      <c r="L227" s="17"/>
      <c r="M227" s="17"/>
      <c r="N227" s="29"/>
      <c r="O227" s="29"/>
      <c r="P227" s="29"/>
      <c r="Q227" s="29"/>
      <c r="R227" s="38" t="s">
        <v>68</v>
      </c>
      <c r="S227" s="38" t="s">
        <v>68</v>
      </c>
      <c r="T227" s="17"/>
      <c r="U227" s="17" t="s">
        <v>69</v>
      </c>
      <c r="V227" s="17"/>
      <c r="W227" s="17">
        <v>1</v>
      </c>
      <c r="X227" s="17"/>
      <c r="Y227" s="53"/>
      <c r="Z227" s="16"/>
      <c r="AA227" s="54"/>
      <c r="AB227" s="17">
        <v>0</v>
      </c>
      <c r="AC227" s="55"/>
      <c r="AD227" s="55"/>
      <c r="AE227" s="55"/>
      <c r="AF227" s="17"/>
      <c r="AG227" s="17"/>
      <c r="AH227" s="17"/>
      <c r="AI227" s="14">
        <f t="shared" ref="AI227:AI290" si="48">IF(AA227="",0,AA227)</f>
        <v>0</v>
      </c>
      <c r="AJ227" s="29">
        <v>1</v>
      </c>
      <c r="AK227" s="14" t="str">
        <f t="shared" si="46"/>
        <v/>
      </c>
      <c r="AL227" s="56"/>
      <c r="AO227" s="14">
        <f t="shared" ref="AO227:AO290" si="49">IF(AA227="",0,AA227)</f>
        <v>0</v>
      </c>
      <c r="AP227" s="29">
        <v>1</v>
      </c>
      <c r="AQ227" s="14" t="str">
        <f t="shared" si="47"/>
        <v/>
      </c>
      <c r="AR227" s="56"/>
      <c r="AU227" s="14">
        <v>0</v>
      </c>
      <c r="AV227" s="29">
        <v>1</v>
      </c>
      <c r="AW227" s="14" t="str">
        <f t="shared" si="45"/>
        <v/>
      </c>
      <c r="AX227" s="56"/>
      <c r="BA227" s="8">
        <v>1</v>
      </c>
    </row>
    <row r="228" spans="2:53">
      <c r="B228" s="14">
        <v>1392</v>
      </c>
      <c r="C228" s="16" t="s">
        <v>426</v>
      </c>
      <c r="D228" s="15">
        <v>100392</v>
      </c>
      <c r="E228" s="17"/>
      <c r="F228" s="17"/>
      <c r="G228" s="17"/>
      <c r="H228" s="17"/>
      <c r="I228" s="29"/>
      <c r="J228" s="29"/>
      <c r="K228" s="29"/>
      <c r="L228" s="17"/>
      <c r="M228" s="17"/>
      <c r="N228" s="29"/>
      <c r="O228" s="29"/>
      <c r="P228" s="29"/>
      <c r="Q228" s="29"/>
      <c r="R228" s="38" t="s">
        <v>68</v>
      </c>
      <c r="S228" s="38" t="s">
        <v>68</v>
      </c>
      <c r="T228" s="17"/>
      <c r="U228" s="17" t="s">
        <v>69</v>
      </c>
      <c r="V228" s="17"/>
      <c r="W228" s="17">
        <v>1</v>
      </c>
      <c r="X228" s="17"/>
      <c r="Y228" s="53"/>
      <c r="Z228" s="16"/>
      <c r="AA228" s="54"/>
      <c r="AB228" s="17" t="s">
        <v>427</v>
      </c>
      <c r="AC228" s="55" t="s">
        <v>169</v>
      </c>
      <c r="AD228" s="55"/>
      <c r="AE228" s="55"/>
      <c r="AF228" s="17"/>
      <c r="AG228" s="17"/>
      <c r="AH228" s="17"/>
      <c r="AI228" s="14">
        <f t="shared" si="48"/>
        <v>0</v>
      </c>
      <c r="AJ228" s="29">
        <v>1</v>
      </c>
      <c r="AK228" s="14" t="str">
        <f t="shared" si="46"/>
        <v/>
      </c>
      <c r="AL228" s="56"/>
      <c r="AO228" s="14">
        <f t="shared" si="49"/>
        <v>0</v>
      </c>
      <c r="AP228" s="29"/>
      <c r="AQ228" s="14" t="str">
        <f t="shared" si="47"/>
        <v>[1392,0,0];</v>
      </c>
      <c r="AR228" s="56"/>
      <c r="AU228" s="14">
        <v>0</v>
      </c>
      <c r="AV228" s="29">
        <v>1</v>
      </c>
      <c r="AW228" s="14" t="str">
        <f t="shared" si="45"/>
        <v/>
      </c>
      <c r="AX228" s="56"/>
      <c r="BA228" s="8">
        <v>1</v>
      </c>
    </row>
    <row r="229" spans="2:53">
      <c r="B229" s="14">
        <v>1393</v>
      </c>
      <c r="C229" s="16" t="s">
        <v>428</v>
      </c>
      <c r="D229" s="15">
        <v>100393</v>
      </c>
      <c r="E229" s="17"/>
      <c r="F229" s="17"/>
      <c r="G229" s="17"/>
      <c r="H229" s="17"/>
      <c r="I229" s="29"/>
      <c r="J229" s="29"/>
      <c r="K229" s="29"/>
      <c r="L229" s="17"/>
      <c r="M229" s="17"/>
      <c r="N229" s="29"/>
      <c r="O229" s="29"/>
      <c r="P229" s="29"/>
      <c r="Q229" s="29"/>
      <c r="R229" s="38" t="s">
        <v>68</v>
      </c>
      <c r="S229" s="38" t="s">
        <v>68</v>
      </c>
      <c r="T229" s="17"/>
      <c r="U229" s="17" t="s">
        <v>69</v>
      </c>
      <c r="V229" s="17"/>
      <c r="W229" s="17">
        <v>1</v>
      </c>
      <c r="X229" s="17"/>
      <c r="Y229" s="53"/>
      <c r="Z229" s="16"/>
      <c r="AA229" s="54"/>
      <c r="AB229" s="17">
        <v>0</v>
      </c>
      <c r="AC229" s="55"/>
      <c r="AD229" s="55"/>
      <c r="AE229" s="55"/>
      <c r="AF229" s="17"/>
      <c r="AG229" s="17"/>
      <c r="AH229" s="17"/>
      <c r="AI229" s="14">
        <f t="shared" si="48"/>
        <v>0</v>
      </c>
      <c r="AJ229" s="29">
        <v>1</v>
      </c>
      <c r="AK229" s="14" t="str">
        <f t="shared" si="46"/>
        <v/>
      </c>
      <c r="AL229" s="56"/>
      <c r="AO229" s="14">
        <f t="shared" si="49"/>
        <v>0</v>
      </c>
      <c r="AP229" s="29">
        <v>1</v>
      </c>
      <c r="AQ229" s="14" t="str">
        <f t="shared" si="47"/>
        <v/>
      </c>
      <c r="AR229" s="56"/>
      <c r="AU229" s="14">
        <v>0</v>
      </c>
      <c r="AV229" s="29">
        <v>1</v>
      </c>
      <c r="AW229" s="14" t="str">
        <f t="shared" si="45"/>
        <v/>
      </c>
      <c r="AX229" s="56"/>
      <c r="BA229" s="8">
        <v>1</v>
      </c>
    </row>
    <row r="230" spans="2:53">
      <c r="B230" s="14">
        <v>1394</v>
      </c>
      <c r="C230" s="16" t="s">
        <v>429</v>
      </c>
      <c r="D230" s="15">
        <v>100394</v>
      </c>
      <c r="E230" s="17"/>
      <c r="F230" s="17"/>
      <c r="G230" s="17"/>
      <c r="H230" s="17"/>
      <c r="I230" s="29"/>
      <c r="J230" s="29"/>
      <c r="K230" s="29"/>
      <c r="L230" s="17"/>
      <c r="M230" s="17"/>
      <c r="N230" s="29"/>
      <c r="O230" s="29"/>
      <c r="P230" s="29"/>
      <c r="Q230" s="29"/>
      <c r="R230" s="38" t="s">
        <v>68</v>
      </c>
      <c r="S230" s="38" t="s">
        <v>68</v>
      </c>
      <c r="T230" s="17"/>
      <c r="U230" s="17" t="s">
        <v>69</v>
      </c>
      <c r="V230" s="17"/>
      <c r="W230" s="17">
        <v>1</v>
      </c>
      <c r="X230" s="17"/>
      <c r="Y230" s="53"/>
      <c r="Z230" s="16"/>
      <c r="AA230" s="54"/>
      <c r="AB230" s="17">
        <v>0</v>
      </c>
      <c r="AC230" s="55" t="s">
        <v>430</v>
      </c>
      <c r="AD230" s="55"/>
      <c r="AE230" s="55"/>
      <c r="AF230" s="17"/>
      <c r="AG230" s="17"/>
      <c r="AH230" s="17"/>
      <c r="AI230" s="14">
        <f t="shared" si="48"/>
        <v>0</v>
      </c>
      <c r="AJ230" s="29">
        <v>1</v>
      </c>
      <c r="AK230" s="14" t="str">
        <f t="shared" si="46"/>
        <v/>
      </c>
      <c r="AL230" s="56"/>
      <c r="AO230" s="14">
        <f t="shared" si="49"/>
        <v>0</v>
      </c>
      <c r="AP230" s="29"/>
      <c r="AQ230" s="14" t="str">
        <f t="shared" si="47"/>
        <v>[1394,0,0];</v>
      </c>
      <c r="AR230" s="56"/>
      <c r="AU230" s="14">
        <v>0</v>
      </c>
      <c r="AV230" s="29">
        <v>1</v>
      </c>
      <c r="AW230" s="14" t="str">
        <f t="shared" si="45"/>
        <v/>
      </c>
      <c r="AX230" s="56"/>
      <c r="BA230" s="8">
        <v>1</v>
      </c>
    </row>
    <row r="231" spans="2:53">
      <c r="B231" s="14">
        <v>1395</v>
      </c>
      <c r="C231" s="16" t="s">
        <v>431</v>
      </c>
      <c r="D231" s="15">
        <v>100395</v>
      </c>
      <c r="E231" s="17"/>
      <c r="F231" s="17"/>
      <c r="G231" s="17"/>
      <c r="H231" s="17"/>
      <c r="I231" s="29"/>
      <c r="J231" s="29"/>
      <c r="K231" s="29"/>
      <c r="L231" s="17"/>
      <c r="M231" s="17"/>
      <c r="N231" s="29"/>
      <c r="O231" s="29"/>
      <c r="P231" s="29"/>
      <c r="Q231" s="29"/>
      <c r="R231" s="38" t="s">
        <v>68</v>
      </c>
      <c r="S231" s="38" t="s">
        <v>68</v>
      </c>
      <c r="T231" s="17"/>
      <c r="U231" s="17" t="s">
        <v>69</v>
      </c>
      <c r="V231" s="17">
        <v>0</v>
      </c>
      <c r="W231" s="17"/>
      <c r="X231" s="17"/>
      <c r="Y231" s="53"/>
      <c r="Z231" s="16"/>
      <c r="AA231" s="54"/>
      <c r="AB231" s="17">
        <v>0</v>
      </c>
      <c r="AC231" s="107" t="s">
        <v>432</v>
      </c>
      <c r="AD231" s="108"/>
      <c r="AE231" s="108"/>
      <c r="AF231" s="108"/>
      <c r="AG231" s="115"/>
      <c r="AH231" s="115"/>
      <c r="AI231" s="14">
        <f t="shared" si="48"/>
        <v>0</v>
      </c>
      <c r="AJ231" s="29">
        <v>1</v>
      </c>
      <c r="AK231" s="14" t="str">
        <f t="shared" si="46"/>
        <v/>
      </c>
      <c r="AL231" s="17"/>
      <c r="AO231" s="14">
        <f t="shared" si="49"/>
        <v>0</v>
      </c>
      <c r="AP231" s="29"/>
      <c r="AQ231" s="14" t="str">
        <f t="shared" si="47"/>
        <v>[1395,0,0];</v>
      </c>
      <c r="AR231" s="17"/>
      <c r="AU231" s="14">
        <v>0</v>
      </c>
      <c r="AV231" s="29">
        <v>1</v>
      </c>
      <c r="AW231" s="14" t="str">
        <f t="shared" si="45"/>
        <v/>
      </c>
      <c r="AX231" s="17"/>
      <c r="BA231" s="8">
        <v>1</v>
      </c>
    </row>
    <row r="232" spans="2:53">
      <c r="B232" s="14">
        <v>1396</v>
      </c>
      <c r="C232" s="16" t="s">
        <v>433</v>
      </c>
      <c r="D232" s="15">
        <v>100396</v>
      </c>
      <c r="E232" s="17"/>
      <c r="F232" s="17"/>
      <c r="G232" s="17"/>
      <c r="H232" s="17"/>
      <c r="I232" s="29"/>
      <c r="J232" s="29"/>
      <c r="K232" s="29"/>
      <c r="L232" s="17"/>
      <c r="M232" s="17"/>
      <c r="N232" s="29"/>
      <c r="O232" s="29">
        <v>-1</v>
      </c>
      <c r="P232" s="29"/>
      <c r="Q232" s="29"/>
      <c r="R232" s="38" t="s">
        <v>68</v>
      </c>
      <c r="S232" s="38" t="s">
        <v>68</v>
      </c>
      <c r="T232" s="17"/>
      <c r="U232" s="17" t="s">
        <v>69</v>
      </c>
      <c r="V232" s="17">
        <v>0</v>
      </c>
      <c r="W232" s="17"/>
      <c r="X232" s="17"/>
      <c r="Y232" s="53"/>
      <c r="Z232" s="16"/>
      <c r="AA232" s="54"/>
      <c r="AB232" s="17">
        <v>0</v>
      </c>
      <c r="AC232" s="109"/>
      <c r="AD232" s="108"/>
      <c r="AE232" s="108"/>
      <c r="AF232" s="110"/>
      <c r="AG232" s="29"/>
      <c r="AH232" s="29"/>
      <c r="AI232" s="14">
        <f t="shared" si="48"/>
        <v>0</v>
      </c>
      <c r="AJ232" s="29">
        <v>1</v>
      </c>
      <c r="AK232" s="14" t="str">
        <f t="shared" si="46"/>
        <v/>
      </c>
      <c r="AL232" s="56"/>
      <c r="AO232" s="14">
        <f t="shared" si="49"/>
        <v>0</v>
      </c>
      <c r="AP232" s="29"/>
      <c r="AQ232" s="14" t="str">
        <f t="shared" si="47"/>
        <v>[1396,0,0];</v>
      </c>
      <c r="AR232" s="56"/>
      <c r="AU232" s="14">
        <v>0</v>
      </c>
      <c r="AV232" s="29">
        <v>1</v>
      </c>
      <c r="AW232" s="14" t="str">
        <f t="shared" si="45"/>
        <v/>
      </c>
      <c r="AX232" s="56"/>
      <c r="BA232" s="8">
        <v>1</v>
      </c>
    </row>
    <row r="233" spans="2:53">
      <c r="B233" s="14">
        <v>1397</v>
      </c>
      <c r="C233" s="16" t="s">
        <v>434</v>
      </c>
      <c r="D233" s="15">
        <v>100397</v>
      </c>
      <c r="E233" s="17"/>
      <c r="F233" s="17"/>
      <c r="G233" s="17"/>
      <c r="H233" s="17"/>
      <c r="I233" s="29"/>
      <c r="J233" s="29"/>
      <c r="K233" s="29"/>
      <c r="L233" s="17"/>
      <c r="M233" s="17"/>
      <c r="N233" s="29"/>
      <c r="O233" s="29"/>
      <c r="P233" s="29"/>
      <c r="Q233" s="29"/>
      <c r="R233" s="38" t="s">
        <v>68</v>
      </c>
      <c r="S233" s="38" t="s">
        <v>68</v>
      </c>
      <c r="T233" s="17"/>
      <c r="U233" s="17" t="s">
        <v>69</v>
      </c>
      <c r="V233" s="17">
        <v>0</v>
      </c>
      <c r="W233" s="17"/>
      <c r="X233" s="17"/>
      <c r="Y233" s="53"/>
      <c r="Z233" s="16"/>
      <c r="AA233" s="54"/>
      <c r="AB233" s="17" t="s">
        <v>435</v>
      </c>
      <c r="AC233" s="55" t="s">
        <v>436</v>
      </c>
      <c r="AD233" s="56" t="s">
        <v>437</v>
      </c>
      <c r="AE233" s="56" t="s">
        <v>438</v>
      </c>
      <c r="AF233" s="17" t="s">
        <v>439</v>
      </c>
      <c r="AG233" s="17" t="s">
        <v>440</v>
      </c>
      <c r="AH233" s="17"/>
      <c r="AI233" s="14">
        <f t="shared" si="48"/>
        <v>0</v>
      </c>
      <c r="AJ233" s="29">
        <v>1</v>
      </c>
      <c r="AK233" s="14" t="str">
        <f t="shared" si="46"/>
        <v/>
      </c>
      <c r="AL233" s="56"/>
      <c r="AO233" s="14">
        <f t="shared" si="49"/>
        <v>0</v>
      </c>
      <c r="AP233" s="29"/>
      <c r="AQ233" s="14" t="str">
        <f t="shared" si="47"/>
        <v>[1397,0,0];</v>
      </c>
      <c r="AR233" s="56"/>
      <c r="AU233" s="14">
        <v>0</v>
      </c>
      <c r="AV233" s="29"/>
      <c r="AW233" s="14" t="str">
        <f t="shared" si="45"/>
        <v>[1397,0,0];</v>
      </c>
      <c r="AX233" s="56"/>
      <c r="BA233" s="8">
        <v>1</v>
      </c>
    </row>
    <row r="234" spans="2:53">
      <c r="B234" s="14">
        <v>1398</v>
      </c>
      <c r="C234" s="16" t="s">
        <v>441</v>
      </c>
      <c r="D234" s="15">
        <v>100398</v>
      </c>
      <c r="E234" s="17"/>
      <c r="F234" s="17"/>
      <c r="G234" s="17"/>
      <c r="H234" s="17"/>
      <c r="I234" s="29"/>
      <c r="J234" s="29"/>
      <c r="K234" s="29"/>
      <c r="L234" s="17"/>
      <c r="M234" s="17"/>
      <c r="N234" s="29"/>
      <c r="O234" s="29"/>
      <c r="P234" s="29"/>
      <c r="Q234" s="29"/>
      <c r="R234" s="38" t="s">
        <v>68</v>
      </c>
      <c r="S234" s="38" t="s">
        <v>68</v>
      </c>
      <c r="T234" s="17"/>
      <c r="U234" s="17" t="s">
        <v>69</v>
      </c>
      <c r="V234" s="17">
        <v>0</v>
      </c>
      <c r="W234" s="17"/>
      <c r="X234" s="17"/>
      <c r="Y234" s="53"/>
      <c r="Z234" s="16"/>
      <c r="AA234" s="54"/>
      <c r="AB234" s="17">
        <v>0</v>
      </c>
      <c r="AC234" s="17">
        <v>1</v>
      </c>
      <c r="AD234" s="17"/>
      <c r="AE234" s="17"/>
      <c r="AF234" s="17"/>
      <c r="AG234" s="17"/>
      <c r="AH234" s="17"/>
      <c r="AI234" s="14">
        <f t="shared" si="48"/>
        <v>0</v>
      </c>
      <c r="AJ234" s="29">
        <v>1</v>
      </c>
      <c r="AK234" s="14" t="str">
        <f t="shared" si="46"/>
        <v/>
      </c>
      <c r="AL234" s="17"/>
      <c r="AO234" s="14">
        <f t="shared" si="49"/>
        <v>0</v>
      </c>
      <c r="AP234" s="29"/>
      <c r="AQ234" s="14" t="str">
        <f t="shared" si="47"/>
        <v>[1398,0,0];</v>
      </c>
      <c r="AR234" s="17"/>
      <c r="AU234" s="14">
        <v>0</v>
      </c>
      <c r="AV234" s="29">
        <v>1</v>
      </c>
      <c r="AW234" s="14" t="str">
        <f t="shared" si="45"/>
        <v/>
      </c>
      <c r="AX234" s="17"/>
      <c r="BA234" s="8">
        <v>1</v>
      </c>
    </row>
    <row r="235" ht="40.5" spans="1:53">
      <c r="A235" s="18" t="s">
        <v>22</v>
      </c>
      <c r="B235" s="14">
        <v>1399</v>
      </c>
      <c r="C235" s="19" t="s">
        <v>442</v>
      </c>
      <c r="D235" s="15">
        <v>100399</v>
      </c>
      <c r="E235" s="20"/>
      <c r="F235" s="20"/>
      <c r="G235" s="20"/>
      <c r="H235" s="20"/>
      <c r="I235" s="30"/>
      <c r="J235" s="29"/>
      <c r="K235" s="29"/>
      <c r="L235" s="20"/>
      <c r="M235" s="20"/>
      <c r="N235" s="30"/>
      <c r="O235" s="30"/>
      <c r="P235" s="30"/>
      <c r="Q235" s="30">
        <v>110</v>
      </c>
      <c r="R235" s="39" t="s">
        <v>68</v>
      </c>
      <c r="S235" s="39" t="s">
        <v>68</v>
      </c>
      <c r="T235" s="20"/>
      <c r="U235" s="20" t="s">
        <v>69</v>
      </c>
      <c r="V235" s="20">
        <v>0</v>
      </c>
      <c r="W235" s="20"/>
      <c r="X235" s="20"/>
      <c r="Y235" s="57"/>
      <c r="Z235" s="19"/>
      <c r="AA235" s="58"/>
      <c r="AB235" s="20">
        <v>0</v>
      </c>
      <c r="AC235" s="59" t="s">
        <v>443</v>
      </c>
      <c r="AD235" s="60"/>
      <c r="AE235" s="20"/>
      <c r="AF235" s="20"/>
      <c r="AG235" s="20"/>
      <c r="AH235" s="20"/>
      <c r="AI235" s="14">
        <f t="shared" si="48"/>
        <v>0</v>
      </c>
      <c r="AJ235" s="30">
        <v>1</v>
      </c>
      <c r="AK235" s="14" t="str">
        <f t="shared" si="46"/>
        <v/>
      </c>
      <c r="AL235" s="60"/>
      <c r="AM235" s="1"/>
      <c r="AN235" s="1"/>
      <c r="AO235" s="14">
        <f t="shared" si="49"/>
        <v>0</v>
      </c>
      <c r="AP235" s="30">
        <v>1</v>
      </c>
      <c r="AQ235" s="14" t="str">
        <f t="shared" si="47"/>
        <v/>
      </c>
      <c r="AR235" s="60"/>
      <c r="AS235" s="1"/>
      <c r="AT235" s="1"/>
      <c r="AU235" s="14">
        <v>0</v>
      </c>
      <c r="AV235" s="30">
        <v>1</v>
      </c>
      <c r="AW235" s="14" t="str">
        <f t="shared" si="45"/>
        <v/>
      </c>
      <c r="AX235" s="60"/>
      <c r="BA235" s="8">
        <v>1</v>
      </c>
    </row>
    <row r="236" spans="1:53">
      <c r="A236" s="18" t="s">
        <v>22</v>
      </c>
      <c r="B236" s="14">
        <v>1400</v>
      </c>
      <c r="C236" s="19" t="s">
        <v>444</v>
      </c>
      <c r="D236" s="15">
        <v>100400</v>
      </c>
      <c r="E236" s="20"/>
      <c r="F236" s="20"/>
      <c r="G236" s="20"/>
      <c r="H236" s="20"/>
      <c r="I236" s="30"/>
      <c r="J236" s="29"/>
      <c r="K236" s="29"/>
      <c r="L236" s="20"/>
      <c r="M236" s="20"/>
      <c r="N236" s="30"/>
      <c r="O236" s="30"/>
      <c r="P236" s="30"/>
      <c r="Q236" s="30"/>
      <c r="R236" s="39" t="s">
        <v>68</v>
      </c>
      <c r="S236" s="39" t="s">
        <v>68</v>
      </c>
      <c r="T236" s="20"/>
      <c r="U236" s="20" t="s">
        <v>69</v>
      </c>
      <c r="V236" s="20">
        <v>0</v>
      </c>
      <c r="W236" s="20"/>
      <c r="X236" s="20"/>
      <c r="Y236" s="57"/>
      <c r="Z236" s="19"/>
      <c r="AA236" s="58"/>
      <c r="AB236" s="20">
        <v>0</v>
      </c>
      <c r="AC236" s="20">
        <v>1</v>
      </c>
      <c r="AD236" s="20"/>
      <c r="AE236" s="60"/>
      <c r="AF236" s="20"/>
      <c r="AG236" s="20"/>
      <c r="AH236" s="20"/>
      <c r="AI236" s="14">
        <f t="shared" si="48"/>
        <v>0</v>
      </c>
      <c r="AJ236" s="30">
        <v>1</v>
      </c>
      <c r="AK236" s="14" t="str">
        <f t="shared" si="46"/>
        <v/>
      </c>
      <c r="AL236" s="20"/>
      <c r="AM236" s="1"/>
      <c r="AN236" s="1"/>
      <c r="AO236" s="14">
        <f t="shared" si="49"/>
        <v>0</v>
      </c>
      <c r="AP236" s="30">
        <v>1</v>
      </c>
      <c r="AQ236" s="14" t="str">
        <f t="shared" si="47"/>
        <v/>
      </c>
      <c r="AR236" s="20"/>
      <c r="AS236" s="1"/>
      <c r="AT236" s="1"/>
      <c r="AU236" s="14">
        <v>0</v>
      </c>
      <c r="AV236" s="30">
        <v>1</v>
      </c>
      <c r="AW236" s="14" t="str">
        <f t="shared" si="45"/>
        <v/>
      </c>
      <c r="AX236" s="20"/>
      <c r="BA236" s="8">
        <v>1</v>
      </c>
    </row>
    <row r="237" s="1" customFormat="1" ht="27" spans="1:53">
      <c r="A237" s="18" t="s">
        <v>22</v>
      </c>
      <c r="B237" s="14">
        <v>1401</v>
      </c>
      <c r="C237" s="16" t="s">
        <v>445</v>
      </c>
      <c r="D237" s="15">
        <v>100401</v>
      </c>
      <c r="E237" s="17"/>
      <c r="F237" s="17"/>
      <c r="G237" s="17"/>
      <c r="H237" s="17"/>
      <c r="I237" s="29"/>
      <c r="J237" s="29"/>
      <c r="K237" s="29"/>
      <c r="L237" s="17"/>
      <c r="M237" s="17"/>
      <c r="N237" s="29"/>
      <c r="O237" s="29"/>
      <c r="P237" s="29"/>
      <c r="Q237" s="29"/>
      <c r="R237" s="38" t="s">
        <v>68</v>
      </c>
      <c r="S237" s="38" t="s">
        <v>68</v>
      </c>
      <c r="T237" s="17"/>
      <c r="U237" s="17" t="s">
        <v>69</v>
      </c>
      <c r="V237" s="17">
        <v>0</v>
      </c>
      <c r="W237" s="17"/>
      <c r="X237" s="17"/>
      <c r="Y237" s="53"/>
      <c r="Z237" s="16"/>
      <c r="AA237" s="54"/>
      <c r="AB237" s="17">
        <v>0</v>
      </c>
      <c r="AC237" s="55" t="s">
        <v>446</v>
      </c>
      <c r="AD237" s="17"/>
      <c r="AE237" s="17"/>
      <c r="AF237" s="17"/>
      <c r="AG237" s="17"/>
      <c r="AH237" s="17"/>
      <c r="AI237" s="14">
        <f t="shared" si="48"/>
        <v>0</v>
      </c>
      <c r="AJ237" s="29"/>
      <c r="AK237" s="14" t="str">
        <f t="shared" si="46"/>
        <v>[1401,0,0];</v>
      </c>
      <c r="AL237" s="17"/>
      <c r="AM237" s="8"/>
      <c r="AN237" s="8"/>
      <c r="AO237" s="14">
        <f t="shared" si="49"/>
        <v>0</v>
      </c>
      <c r="AP237" s="29"/>
      <c r="AQ237" s="14" t="str">
        <f t="shared" si="47"/>
        <v>[1401,0,0];</v>
      </c>
      <c r="AR237" s="17"/>
      <c r="AS237" s="8"/>
      <c r="AT237" s="8"/>
      <c r="AU237" s="14">
        <v>0</v>
      </c>
      <c r="AV237" s="29"/>
      <c r="AW237" s="14" t="str">
        <f t="shared" si="45"/>
        <v>[1401,0,0];</v>
      </c>
      <c r="AX237" s="17"/>
      <c r="BA237" s="1">
        <v>1</v>
      </c>
    </row>
    <row r="238" s="1" customFormat="1" spans="1:53">
      <c r="A238" s="18" t="s">
        <v>22</v>
      </c>
      <c r="B238" s="14">
        <v>1402</v>
      </c>
      <c r="C238" s="16" t="s">
        <v>447</v>
      </c>
      <c r="D238" s="15">
        <v>100402</v>
      </c>
      <c r="E238" s="17"/>
      <c r="F238" s="17"/>
      <c r="G238" s="17"/>
      <c r="H238" s="17"/>
      <c r="I238" s="29"/>
      <c r="J238" s="29"/>
      <c r="K238" s="29"/>
      <c r="L238" s="17"/>
      <c r="M238" s="17"/>
      <c r="N238" s="29"/>
      <c r="O238" s="29"/>
      <c r="P238" s="29"/>
      <c r="Q238" s="29"/>
      <c r="R238" s="38" t="s">
        <v>68</v>
      </c>
      <c r="S238" s="38" t="s">
        <v>68</v>
      </c>
      <c r="T238" s="17"/>
      <c r="U238" s="17" t="s">
        <v>69</v>
      </c>
      <c r="V238" s="17">
        <v>0</v>
      </c>
      <c r="W238" s="17"/>
      <c r="X238" s="17"/>
      <c r="Y238" s="53"/>
      <c r="Z238" s="16"/>
      <c r="AA238" s="54"/>
      <c r="AB238" s="17">
        <v>0</v>
      </c>
      <c r="AC238" s="17">
        <v>1</v>
      </c>
      <c r="AD238" s="17"/>
      <c r="AE238" s="17"/>
      <c r="AF238" s="17"/>
      <c r="AG238" s="17"/>
      <c r="AH238" s="17"/>
      <c r="AI238" s="14">
        <f t="shared" si="48"/>
        <v>0</v>
      </c>
      <c r="AJ238" s="29">
        <v>1</v>
      </c>
      <c r="AK238" s="14" t="str">
        <f t="shared" si="46"/>
        <v/>
      </c>
      <c r="AL238" s="17"/>
      <c r="AM238" s="8"/>
      <c r="AN238" s="8"/>
      <c r="AO238" s="14">
        <f t="shared" si="49"/>
        <v>0</v>
      </c>
      <c r="AP238" s="29"/>
      <c r="AQ238" s="14" t="str">
        <f t="shared" si="47"/>
        <v>[1402,0,0];</v>
      </c>
      <c r="AR238" s="17"/>
      <c r="AS238" s="8"/>
      <c r="AT238" s="8"/>
      <c r="AU238" s="14">
        <v>0</v>
      </c>
      <c r="AV238" s="29">
        <v>1</v>
      </c>
      <c r="AW238" s="14" t="str">
        <f t="shared" si="45"/>
        <v/>
      </c>
      <c r="AX238" s="17"/>
      <c r="BA238" s="1">
        <v>1</v>
      </c>
    </row>
    <row r="239" s="1" customFormat="1" ht="27" spans="1:53">
      <c r="A239" s="18" t="s">
        <v>22</v>
      </c>
      <c r="B239" s="14">
        <v>1403</v>
      </c>
      <c r="C239" s="16" t="s">
        <v>448</v>
      </c>
      <c r="D239" s="15">
        <v>100403</v>
      </c>
      <c r="E239" s="17"/>
      <c r="F239" s="17"/>
      <c r="G239" s="17"/>
      <c r="H239" s="17"/>
      <c r="I239" s="29"/>
      <c r="J239" s="29"/>
      <c r="K239" s="29"/>
      <c r="L239" s="17"/>
      <c r="M239" s="17"/>
      <c r="N239" s="29"/>
      <c r="O239" s="29"/>
      <c r="P239" s="29"/>
      <c r="Q239" s="29"/>
      <c r="R239" s="38" t="s">
        <v>68</v>
      </c>
      <c r="S239" s="38" t="s">
        <v>68</v>
      </c>
      <c r="T239" s="17"/>
      <c r="U239" s="17" t="s">
        <v>69</v>
      </c>
      <c r="V239" s="17">
        <v>0</v>
      </c>
      <c r="W239" s="17"/>
      <c r="X239" s="17"/>
      <c r="Y239" s="53"/>
      <c r="Z239" s="16"/>
      <c r="AA239" s="54"/>
      <c r="AB239" s="17">
        <v>0</v>
      </c>
      <c r="AC239" s="55" t="s">
        <v>449</v>
      </c>
      <c r="AD239" s="17"/>
      <c r="AE239" s="17"/>
      <c r="AF239" s="17"/>
      <c r="AG239" s="17"/>
      <c r="AH239" s="17"/>
      <c r="AI239" s="14">
        <f t="shared" si="48"/>
        <v>0</v>
      </c>
      <c r="AJ239" s="29"/>
      <c r="AK239" s="14" t="str">
        <f t="shared" si="46"/>
        <v>[1403,0,0];</v>
      </c>
      <c r="AL239" s="17"/>
      <c r="AM239" s="8"/>
      <c r="AN239" s="8"/>
      <c r="AO239" s="14">
        <f t="shared" si="49"/>
        <v>0</v>
      </c>
      <c r="AP239" s="29"/>
      <c r="AQ239" s="14" t="str">
        <f t="shared" si="47"/>
        <v>[1403,0,0];</v>
      </c>
      <c r="AR239" s="17"/>
      <c r="AS239" s="8"/>
      <c r="AT239" s="8"/>
      <c r="AU239" s="14">
        <v>0</v>
      </c>
      <c r="AV239" s="29"/>
      <c r="AW239" s="14" t="str">
        <f t="shared" si="45"/>
        <v>[1403,0,0];</v>
      </c>
      <c r="AX239" s="17"/>
      <c r="BA239" s="1">
        <v>1</v>
      </c>
    </row>
    <row r="240" s="1" customFormat="1" spans="1:53">
      <c r="A240" s="18" t="s">
        <v>22</v>
      </c>
      <c r="B240" s="14">
        <v>1404</v>
      </c>
      <c r="C240" s="16" t="s">
        <v>450</v>
      </c>
      <c r="D240" s="15">
        <v>100404</v>
      </c>
      <c r="E240" s="17"/>
      <c r="F240" s="17"/>
      <c r="G240" s="17"/>
      <c r="H240" s="17"/>
      <c r="I240" s="29"/>
      <c r="J240" s="29"/>
      <c r="K240" s="29"/>
      <c r="L240" s="17"/>
      <c r="M240" s="17"/>
      <c r="N240" s="29"/>
      <c r="O240" s="29"/>
      <c r="P240" s="29"/>
      <c r="Q240" s="29"/>
      <c r="R240" s="38" t="s">
        <v>68</v>
      </c>
      <c r="S240" s="38" t="s">
        <v>68</v>
      </c>
      <c r="T240" s="17"/>
      <c r="U240" s="17" t="s">
        <v>69</v>
      </c>
      <c r="V240" s="17">
        <v>0</v>
      </c>
      <c r="W240" s="17"/>
      <c r="X240" s="17"/>
      <c r="Y240" s="53"/>
      <c r="Z240" s="16"/>
      <c r="AA240" s="54"/>
      <c r="AB240" s="17">
        <v>0</v>
      </c>
      <c r="AC240" s="17">
        <v>1</v>
      </c>
      <c r="AD240" s="17"/>
      <c r="AE240" s="17"/>
      <c r="AF240" s="17"/>
      <c r="AG240" s="17"/>
      <c r="AH240" s="17"/>
      <c r="AI240" s="14">
        <f t="shared" si="48"/>
        <v>0</v>
      </c>
      <c r="AJ240" s="29"/>
      <c r="AK240" s="14" t="str">
        <f t="shared" si="46"/>
        <v>[1404,0,0];</v>
      </c>
      <c r="AL240" s="17"/>
      <c r="AM240" s="8"/>
      <c r="AN240" s="8"/>
      <c r="AO240" s="14">
        <f t="shared" si="49"/>
        <v>0</v>
      </c>
      <c r="AP240" s="29"/>
      <c r="AQ240" s="14" t="str">
        <f t="shared" si="47"/>
        <v>[1404,0,0];</v>
      </c>
      <c r="AR240" s="17"/>
      <c r="AS240" s="8"/>
      <c r="AT240" s="8"/>
      <c r="AU240" s="14">
        <v>0</v>
      </c>
      <c r="AV240" s="29">
        <v>1</v>
      </c>
      <c r="AW240" s="14" t="str">
        <f t="shared" si="45"/>
        <v/>
      </c>
      <c r="AX240" s="17"/>
      <c r="BA240" s="1">
        <v>1</v>
      </c>
    </row>
    <row r="241" s="6" customFormat="1" ht="27" spans="1:53">
      <c r="A241" s="18" t="s">
        <v>22</v>
      </c>
      <c r="B241" s="14">
        <v>1405</v>
      </c>
      <c r="C241" s="16" t="s">
        <v>451</v>
      </c>
      <c r="D241" s="15">
        <v>100405</v>
      </c>
      <c r="E241" s="17"/>
      <c r="F241" s="17"/>
      <c r="G241" s="17"/>
      <c r="H241" s="17"/>
      <c r="I241" s="29"/>
      <c r="J241" s="29"/>
      <c r="K241" s="29"/>
      <c r="L241" s="17"/>
      <c r="M241" s="17"/>
      <c r="N241" s="29"/>
      <c r="O241" s="29"/>
      <c r="P241" s="29"/>
      <c r="Q241" s="29"/>
      <c r="R241" s="38" t="s">
        <v>68</v>
      </c>
      <c r="S241" s="38" t="s">
        <v>68</v>
      </c>
      <c r="T241" s="17"/>
      <c r="U241" s="17" t="s">
        <v>69</v>
      </c>
      <c r="V241" s="17">
        <v>0</v>
      </c>
      <c r="W241" s="17"/>
      <c r="X241" s="17"/>
      <c r="Y241" s="53"/>
      <c r="Z241" s="16"/>
      <c r="AA241" s="54"/>
      <c r="AB241" s="17">
        <v>0</v>
      </c>
      <c r="AC241" s="55" t="s">
        <v>452</v>
      </c>
      <c r="AD241" s="17"/>
      <c r="AE241" s="17"/>
      <c r="AF241" s="17"/>
      <c r="AG241" s="17"/>
      <c r="AH241" s="17"/>
      <c r="AI241" s="14">
        <f t="shared" si="48"/>
        <v>0</v>
      </c>
      <c r="AJ241" s="29"/>
      <c r="AK241" s="14" t="str">
        <f t="shared" si="46"/>
        <v>[1405,0,0];</v>
      </c>
      <c r="AL241" s="17"/>
      <c r="AM241" s="8"/>
      <c r="AN241" s="8"/>
      <c r="AO241" s="14">
        <f t="shared" si="49"/>
        <v>0</v>
      </c>
      <c r="AP241" s="29"/>
      <c r="AQ241" s="14" t="str">
        <f t="shared" si="47"/>
        <v>[1405,0,0];</v>
      </c>
      <c r="AR241" s="17"/>
      <c r="AS241" s="8"/>
      <c r="AT241" s="8"/>
      <c r="AU241" s="14">
        <v>0</v>
      </c>
      <c r="AV241" s="29"/>
      <c r="AW241" s="14" t="str">
        <f t="shared" si="45"/>
        <v>[1405,0,0];</v>
      </c>
      <c r="AX241" s="17"/>
      <c r="BA241" s="6">
        <v>1</v>
      </c>
    </row>
    <row r="242" s="6" customFormat="1" spans="1:53">
      <c r="A242" s="18" t="s">
        <v>22</v>
      </c>
      <c r="B242" s="14">
        <v>1406</v>
      </c>
      <c r="C242" s="16" t="s">
        <v>453</v>
      </c>
      <c r="D242" s="15">
        <v>100406</v>
      </c>
      <c r="E242" s="17"/>
      <c r="F242" s="17"/>
      <c r="G242" s="17"/>
      <c r="H242" s="17"/>
      <c r="I242" s="29"/>
      <c r="J242" s="29"/>
      <c r="K242" s="29"/>
      <c r="L242" s="17"/>
      <c r="M242" s="17"/>
      <c r="N242" s="29"/>
      <c r="O242" s="29"/>
      <c r="P242" s="29"/>
      <c r="Q242" s="29"/>
      <c r="R242" s="38" t="s">
        <v>68</v>
      </c>
      <c r="S242" s="38" t="s">
        <v>68</v>
      </c>
      <c r="T242" s="17"/>
      <c r="U242" s="17" t="s">
        <v>69</v>
      </c>
      <c r="V242" s="17">
        <v>0</v>
      </c>
      <c r="W242" s="17"/>
      <c r="X242" s="17"/>
      <c r="Y242" s="53"/>
      <c r="Z242" s="16"/>
      <c r="AA242" s="54"/>
      <c r="AB242" s="17">
        <v>0</v>
      </c>
      <c r="AC242" s="17">
        <v>1</v>
      </c>
      <c r="AD242" s="17"/>
      <c r="AE242" s="17"/>
      <c r="AF242" s="17"/>
      <c r="AG242" s="17"/>
      <c r="AH242" s="17"/>
      <c r="AI242" s="14">
        <f t="shared" si="48"/>
        <v>0</v>
      </c>
      <c r="AJ242" s="29">
        <v>1</v>
      </c>
      <c r="AK242" s="14" t="str">
        <f t="shared" si="46"/>
        <v/>
      </c>
      <c r="AL242" s="17"/>
      <c r="AM242" s="8"/>
      <c r="AN242" s="8"/>
      <c r="AO242" s="14">
        <f t="shared" si="49"/>
        <v>0</v>
      </c>
      <c r="AP242" s="29"/>
      <c r="AQ242" s="14" t="str">
        <f t="shared" si="47"/>
        <v>[1406,0,0];</v>
      </c>
      <c r="AR242" s="17"/>
      <c r="AS242" s="8"/>
      <c r="AT242" s="8"/>
      <c r="AU242" s="14">
        <v>0</v>
      </c>
      <c r="AV242" s="29">
        <v>1</v>
      </c>
      <c r="AW242" s="14" t="str">
        <f t="shared" si="45"/>
        <v/>
      </c>
      <c r="AX242" s="17"/>
      <c r="BA242" s="6">
        <v>1</v>
      </c>
    </row>
    <row r="243" s="6" customFormat="1" spans="1:53">
      <c r="A243" s="18" t="s">
        <v>22</v>
      </c>
      <c r="B243" s="14">
        <v>1407</v>
      </c>
      <c r="C243" s="16" t="s">
        <v>454</v>
      </c>
      <c r="D243" s="15">
        <v>100407</v>
      </c>
      <c r="E243" s="17"/>
      <c r="F243" s="17"/>
      <c r="G243" s="17"/>
      <c r="H243" s="17"/>
      <c r="I243" s="29"/>
      <c r="J243" s="29"/>
      <c r="K243" s="29"/>
      <c r="L243" s="17"/>
      <c r="M243" s="17"/>
      <c r="N243" s="29"/>
      <c r="O243" s="29"/>
      <c r="P243" s="29"/>
      <c r="Q243" s="29"/>
      <c r="R243" s="38" t="s">
        <v>68</v>
      </c>
      <c r="S243" s="38" t="s">
        <v>68</v>
      </c>
      <c r="T243" s="17"/>
      <c r="U243" s="17" t="s">
        <v>69</v>
      </c>
      <c r="V243" s="17">
        <v>0</v>
      </c>
      <c r="W243" s="17"/>
      <c r="X243" s="17"/>
      <c r="Y243" s="53"/>
      <c r="Z243" s="16"/>
      <c r="AA243" s="54"/>
      <c r="AB243" s="17">
        <v>0</v>
      </c>
      <c r="AC243" s="17" t="s">
        <v>455</v>
      </c>
      <c r="AD243" s="17"/>
      <c r="AE243" s="17"/>
      <c r="AF243" s="17"/>
      <c r="AG243" s="17"/>
      <c r="AH243" s="17"/>
      <c r="AI243" s="14">
        <f t="shared" si="48"/>
        <v>0</v>
      </c>
      <c r="AJ243" s="29"/>
      <c r="AK243" s="14" t="str">
        <f t="shared" si="46"/>
        <v>[1407,0,0];</v>
      </c>
      <c r="AL243" s="17"/>
      <c r="AM243" s="8"/>
      <c r="AN243" s="8"/>
      <c r="AO243" s="14">
        <f t="shared" si="49"/>
        <v>0</v>
      </c>
      <c r="AP243" s="29"/>
      <c r="AQ243" s="14" t="str">
        <f t="shared" si="47"/>
        <v>[1407,0,0];</v>
      </c>
      <c r="AR243" s="17"/>
      <c r="AS243" s="8"/>
      <c r="AT243" s="8"/>
      <c r="AU243" s="14">
        <v>0</v>
      </c>
      <c r="AV243" s="29"/>
      <c r="AW243" s="14" t="str">
        <f t="shared" si="45"/>
        <v>[1407,0,0];</v>
      </c>
      <c r="AX243" s="17"/>
      <c r="BA243" s="6">
        <v>1</v>
      </c>
    </row>
    <row r="244" s="6" customFormat="1" spans="1:53">
      <c r="A244" s="18" t="s">
        <v>22</v>
      </c>
      <c r="B244" s="14">
        <v>1408</v>
      </c>
      <c r="C244" s="16" t="s">
        <v>456</v>
      </c>
      <c r="D244" s="15">
        <v>100408</v>
      </c>
      <c r="E244" s="17"/>
      <c r="F244" s="17"/>
      <c r="G244" s="17"/>
      <c r="H244" s="17"/>
      <c r="I244" s="29"/>
      <c r="J244" s="29"/>
      <c r="K244" s="29"/>
      <c r="L244" s="17"/>
      <c r="M244" s="17"/>
      <c r="N244" s="29"/>
      <c r="O244" s="29"/>
      <c r="P244" s="29"/>
      <c r="Q244" s="29"/>
      <c r="R244" s="38" t="s">
        <v>68</v>
      </c>
      <c r="S244" s="38" t="s">
        <v>68</v>
      </c>
      <c r="T244" s="17"/>
      <c r="U244" s="17" t="s">
        <v>69</v>
      </c>
      <c r="V244" s="17">
        <v>0</v>
      </c>
      <c r="W244" s="17"/>
      <c r="X244" s="17"/>
      <c r="Y244" s="53"/>
      <c r="Z244" s="16"/>
      <c r="AA244" s="54"/>
      <c r="AB244" s="17">
        <v>0</v>
      </c>
      <c r="AC244" s="17">
        <v>1</v>
      </c>
      <c r="AD244" s="17"/>
      <c r="AE244" s="17"/>
      <c r="AF244" s="17"/>
      <c r="AG244" s="17"/>
      <c r="AH244" s="17"/>
      <c r="AI244" s="14">
        <f t="shared" si="48"/>
        <v>0</v>
      </c>
      <c r="AJ244" s="29">
        <v>1</v>
      </c>
      <c r="AK244" s="14" t="str">
        <f t="shared" si="46"/>
        <v/>
      </c>
      <c r="AL244" s="17"/>
      <c r="AM244" s="8"/>
      <c r="AN244" s="8"/>
      <c r="AO244" s="14">
        <f t="shared" si="49"/>
        <v>0</v>
      </c>
      <c r="AP244" s="29"/>
      <c r="AQ244" s="14" t="str">
        <f t="shared" si="47"/>
        <v>[1408,0,0];</v>
      </c>
      <c r="AR244" s="17"/>
      <c r="AS244" s="8"/>
      <c r="AT244" s="8"/>
      <c r="AU244" s="14">
        <v>0</v>
      </c>
      <c r="AV244" s="29">
        <v>1</v>
      </c>
      <c r="AW244" s="14" t="str">
        <f t="shared" si="45"/>
        <v/>
      </c>
      <c r="AX244" s="17"/>
      <c r="BA244" s="6">
        <v>1</v>
      </c>
    </row>
    <row r="245" s="6" customFormat="1" ht="40.5" spans="1:53">
      <c r="A245" s="18" t="s">
        <v>22</v>
      </c>
      <c r="B245" s="14">
        <v>1409</v>
      </c>
      <c r="C245" s="16" t="s">
        <v>457</v>
      </c>
      <c r="D245" s="15">
        <v>100409</v>
      </c>
      <c r="E245" s="17"/>
      <c r="F245" s="17"/>
      <c r="G245" s="17"/>
      <c r="H245" s="17"/>
      <c r="I245" s="29"/>
      <c r="J245" s="29"/>
      <c r="K245" s="29"/>
      <c r="L245" s="17"/>
      <c r="M245" s="17"/>
      <c r="N245" s="29"/>
      <c r="O245" s="29"/>
      <c r="P245" s="29"/>
      <c r="Q245" s="29"/>
      <c r="R245" s="38" t="s">
        <v>68</v>
      </c>
      <c r="S245" s="38" t="s">
        <v>68</v>
      </c>
      <c r="T245" s="17"/>
      <c r="U245" s="17" t="s">
        <v>69</v>
      </c>
      <c r="V245" s="17">
        <v>0</v>
      </c>
      <c r="W245" s="17"/>
      <c r="X245" s="17"/>
      <c r="Y245" s="53"/>
      <c r="Z245" s="16"/>
      <c r="AA245" s="54"/>
      <c r="AB245" s="17">
        <v>0</v>
      </c>
      <c r="AC245" s="55" t="s">
        <v>458</v>
      </c>
      <c r="AD245" s="17"/>
      <c r="AE245" s="17"/>
      <c r="AF245" s="17"/>
      <c r="AG245" s="17"/>
      <c r="AH245" s="17"/>
      <c r="AI245" s="14">
        <f t="shared" si="48"/>
        <v>0</v>
      </c>
      <c r="AJ245" s="29"/>
      <c r="AK245" s="14" t="str">
        <f t="shared" si="46"/>
        <v>[1409,0,0];</v>
      </c>
      <c r="AL245" s="17"/>
      <c r="AM245" s="8"/>
      <c r="AN245" s="8"/>
      <c r="AO245" s="14">
        <f t="shared" si="49"/>
        <v>0</v>
      </c>
      <c r="AP245" s="29"/>
      <c r="AQ245" s="14" t="str">
        <f t="shared" si="47"/>
        <v>[1409,0,0];</v>
      </c>
      <c r="AR245" s="17"/>
      <c r="AS245" s="8"/>
      <c r="AT245" s="8"/>
      <c r="AU245" s="14">
        <v>0</v>
      </c>
      <c r="AV245" s="29"/>
      <c r="AW245" s="14" t="str">
        <f t="shared" si="45"/>
        <v>[1409,0,0];</v>
      </c>
      <c r="AX245" s="17"/>
      <c r="BA245" s="6">
        <v>1</v>
      </c>
    </row>
    <row r="246" spans="2:53">
      <c r="B246" s="14">
        <v>1410</v>
      </c>
      <c r="C246" s="16" t="s">
        <v>459</v>
      </c>
      <c r="D246" s="15">
        <v>100410</v>
      </c>
      <c r="E246" s="17"/>
      <c r="F246" s="17"/>
      <c r="G246" s="17"/>
      <c r="H246" s="17"/>
      <c r="I246" s="29"/>
      <c r="J246" s="29"/>
      <c r="K246" s="29"/>
      <c r="L246" s="17"/>
      <c r="M246" s="17"/>
      <c r="N246" s="29"/>
      <c r="O246" s="29"/>
      <c r="P246" s="29"/>
      <c r="Q246" s="29"/>
      <c r="R246" s="38" t="s">
        <v>68</v>
      </c>
      <c r="S246" s="38" t="s">
        <v>68</v>
      </c>
      <c r="T246" s="17"/>
      <c r="U246" s="17" t="s">
        <v>69</v>
      </c>
      <c r="V246" s="17">
        <v>0</v>
      </c>
      <c r="W246" s="17"/>
      <c r="X246" s="17"/>
      <c r="Y246" s="53"/>
      <c r="Z246" s="16"/>
      <c r="AA246" s="54"/>
      <c r="AB246" s="17">
        <v>0</v>
      </c>
      <c r="AC246" s="17">
        <v>1</v>
      </c>
      <c r="AD246" s="17"/>
      <c r="AE246" s="17"/>
      <c r="AF246" s="17"/>
      <c r="AG246" s="17"/>
      <c r="AH246" s="17"/>
      <c r="AI246" s="14">
        <f t="shared" si="48"/>
        <v>0</v>
      </c>
      <c r="AJ246" s="29"/>
      <c r="AK246" s="14" t="str">
        <f t="shared" si="46"/>
        <v>[1410,0,0];</v>
      </c>
      <c r="AL246" s="17"/>
      <c r="AO246" s="14">
        <f t="shared" si="49"/>
        <v>0</v>
      </c>
      <c r="AP246" s="29"/>
      <c r="AQ246" s="14" t="str">
        <f t="shared" si="47"/>
        <v>[1410,0,0];</v>
      </c>
      <c r="AR246" s="17"/>
      <c r="AU246" s="14">
        <v>0</v>
      </c>
      <c r="AV246" s="29"/>
      <c r="AW246" s="14" t="str">
        <f t="shared" si="45"/>
        <v>[1410,0,0];</v>
      </c>
      <c r="AX246" s="17"/>
      <c r="BA246" s="8">
        <v>1</v>
      </c>
    </row>
    <row r="247" s="1" customFormat="1" spans="1:53">
      <c r="A247" s="18" t="s">
        <v>22</v>
      </c>
      <c r="B247" s="14">
        <v>1411</v>
      </c>
      <c r="C247" s="16" t="s">
        <v>460</v>
      </c>
      <c r="D247" s="15">
        <v>100411</v>
      </c>
      <c r="E247" s="17"/>
      <c r="F247" s="17"/>
      <c r="G247" s="17"/>
      <c r="H247" s="17"/>
      <c r="I247" s="29"/>
      <c r="J247" s="29"/>
      <c r="K247" s="29"/>
      <c r="L247" s="17"/>
      <c r="M247" s="17"/>
      <c r="N247" s="29"/>
      <c r="O247" s="29"/>
      <c r="P247" s="29"/>
      <c r="Q247" s="29"/>
      <c r="R247" s="38" t="s">
        <v>68</v>
      </c>
      <c r="S247" s="38" t="s">
        <v>68</v>
      </c>
      <c r="T247" s="17"/>
      <c r="U247" s="17" t="s">
        <v>69</v>
      </c>
      <c r="V247" s="17">
        <v>0</v>
      </c>
      <c r="W247" s="17"/>
      <c r="X247" s="17"/>
      <c r="Y247" s="53"/>
      <c r="Z247" s="16"/>
      <c r="AA247" s="54"/>
      <c r="AB247" s="17">
        <v>0</v>
      </c>
      <c r="AC247" s="17">
        <v>1</v>
      </c>
      <c r="AD247" s="17"/>
      <c r="AE247" s="17"/>
      <c r="AF247" s="17"/>
      <c r="AG247" s="17"/>
      <c r="AH247" s="17"/>
      <c r="AI247" s="14">
        <f t="shared" si="48"/>
        <v>0</v>
      </c>
      <c r="AJ247" s="29"/>
      <c r="AK247" s="14" t="str">
        <f t="shared" si="46"/>
        <v>[1411,0,0];</v>
      </c>
      <c r="AL247" s="17"/>
      <c r="AM247" s="8"/>
      <c r="AN247" s="8"/>
      <c r="AO247" s="14">
        <f t="shared" si="49"/>
        <v>0</v>
      </c>
      <c r="AP247" s="29"/>
      <c r="AQ247" s="14" t="str">
        <f t="shared" si="47"/>
        <v>[1411,0,0];</v>
      </c>
      <c r="AR247" s="17"/>
      <c r="AS247" s="8"/>
      <c r="AT247" s="8"/>
      <c r="AU247" s="14">
        <v>0</v>
      </c>
      <c r="AV247" s="29">
        <v>1</v>
      </c>
      <c r="AW247" s="14" t="str">
        <f t="shared" si="45"/>
        <v/>
      </c>
      <c r="AX247" s="17"/>
      <c r="BA247" s="1">
        <v>1</v>
      </c>
    </row>
    <row r="248" s="1" customFormat="1" spans="1:53">
      <c r="A248" s="18" t="s">
        <v>22</v>
      </c>
      <c r="B248" s="14">
        <v>1412</v>
      </c>
      <c r="C248" s="16" t="s">
        <v>461</v>
      </c>
      <c r="D248" s="15">
        <v>100412</v>
      </c>
      <c r="E248" s="17"/>
      <c r="F248" s="17"/>
      <c r="G248" s="17"/>
      <c r="H248" s="17"/>
      <c r="I248" s="29"/>
      <c r="J248" s="29"/>
      <c r="K248" s="29"/>
      <c r="L248" s="17"/>
      <c r="M248" s="17"/>
      <c r="N248" s="29"/>
      <c r="O248" s="29"/>
      <c r="P248" s="29"/>
      <c r="Q248" s="29"/>
      <c r="R248" s="38" t="s">
        <v>68</v>
      </c>
      <c r="S248" s="38" t="s">
        <v>68</v>
      </c>
      <c r="T248" s="17"/>
      <c r="U248" s="17" t="s">
        <v>69</v>
      </c>
      <c r="V248" s="17">
        <v>0</v>
      </c>
      <c r="W248" s="17"/>
      <c r="X248" s="17"/>
      <c r="Y248" s="53"/>
      <c r="Z248" s="16"/>
      <c r="AA248" s="54"/>
      <c r="AB248" s="17">
        <v>0</v>
      </c>
      <c r="AC248" s="55">
        <v>1</v>
      </c>
      <c r="AD248" s="17"/>
      <c r="AE248" s="17"/>
      <c r="AF248" s="17"/>
      <c r="AG248" s="17"/>
      <c r="AH248" s="17"/>
      <c r="AI248" s="14">
        <f t="shared" si="48"/>
        <v>0</v>
      </c>
      <c r="AJ248" s="29"/>
      <c r="AK248" s="14" t="str">
        <f t="shared" si="46"/>
        <v>[1412,0,0];</v>
      </c>
      <c r="AL248" s="17"/>
      <c r="AM248" s="8"/>
      <c r="AN248" s="8"/>
      <c r="AO248" s="14">
        <f t="shared" si="49"/>
        <v>0</v>
      </c>
      <c r="AP248" s="29"/>
      <c r="AQ248" s="14" t="str">
        <f t="shared" si="47"/>
        <v>[1412,0,0];</v>
      </c>
      <c r="AR248" s="17"/>
      <c r="AS248" s="8"/>
      <c r="AT248" s="8"/>
      <c r="AU248" s="14">
        <v>0</v>
      </c>
      <c r="AV248" s="29">
        <v>1</v>
      </c>
      <c r="AW248" s="14" t="str">
        <f t="shared" si="45"/>
        <v/>
      </c>
      <c r="AX248" s="17"/>
      <c r="BA248" s="1">
        <v>1</v>
      </c>
    </row>
    <row r="249" s="1" customFormat="1" ht="27" spans="1:53">
      <c r="A249" s="18" t="s">
        <v>22</v>
      </c>
      <c r="B249" s="14">
        <v>1413</v>
      </c>
      <c r="C249" s="19" t="s">
        <v>462</v>
      </c>
      <c r="D249" s="15">
        <v>100413</v>
      </c>
      <c r="E249" s="20"/>
      <c r="F249" s="20"/>
      <c r="G249" s="20"/>
      <c r="H249" s="20"/>
      <c r="I249" s="30"/>
      <c r="J249" s="29"/>
      <c r="K249" s="29"/>
      <c r="L249" s="20"/>
      <c r="M249" s="20"/>
      <c r="N249" s="30"/>
      <c r="O249" s="30"/>
      <c r="P249" s="30"/>
      <c r="Q249" s="30"/>
      <c r="R249" s="39" t="s">
        <v>68</v>
      </c>
      <c r="S249" s="39" t="s">
        <v>68</v>
      </c>
      <c r="T249" s="20"/>
      <c r="U249" s="20" t="s">
        <v>69</v>
      </c>
      <c r="V249" s="20">
        <v>0</v>
      </c>
      <c r="W249" s="20"/>
      <c r="X249" s="20"/>
      <c r="Y249" s="57"/>
      <c r="Z249" s="19"/>
      <c r="AA249" s="58"/>
      <c r="AB249" s="20">
        <v>0</v>
      </c>
      <c r="AC249" s="59" t="s">
        <v>463</v>
      </c>
      <c r="AD249" s="20"/>
      <c r="AE249" s="20"/>
      <c r="AF249" s="20"/>
      <c r="AG249" s="20"/>
      <c r="AH249" s="20"/>
      <c r="AI249" s="14">
        <f t="shared" si="48"/>
        <v>0</v>
      </c>
      <c r="AJ249" s="30">
        <v>1</v>
      </c>
      <c r="AK249" s="14" t="str">
        <f t="shared" si="46"/>
        <v/>
      </c>
      <c r="AL249" s="20"/>
      <c r="AO249" s="14">
        <f t="shared" si="49"/>
        <v>0</v>
      </c>
      <c r="AP249" s="30">
        <v>1</v>
      </c>
      <c r="AQ249" s="14" t="str">
        <f t="shared" si="47"/>
        <v/>
      </c>
      <c r="AR249" s="20"/>
      <c r="AU249" s="14">
        <v>0</v>
      </c>
      <c r="AV249" s="30">
        <v>1</v>
      </c>
      <c r="AW249" s="14" t="str">
        <f t="shared" si="45"/>
        <v/>
      </c>
      <c r="AX249" s="20"/>
      <c r="BA249" s="1">
        <v>1</v>
      </c>
    </row>
    <row r="250" s="1" customFormat="1" ht="27" spans="1:53">
      <c r="A250" s="18" t="s">
        <v>22</v>
      </c>
      <c r="B250" s="14">
        <v>1414</v>
      </c>
      <c r="C250" s="19" t="s">
        <v>464</v>
      </c>
      <c r="D250" s="15">
        <v>100414</v>
      </c>
      <c r="E250" s="20"/>
      <c r="F250" s="20"/>
      <c r="G250" s="20"/>
      <c r="H250" s="20"/>
      <c r="I250" s="30"/>
      <c r="J250" s="29"/>
      <c r="K250" s="29"/>
      <c r="L250" s="20"/>
      <c r="M250" s="20"/>
      <c r="N250" s="30"/>
      <c r="O250" s="30"/>
      <c r="P250" s="30"/>
      <c r="Q250" s="30"/>
      <c r="R250" s="39" t="s">
        <v>68</v>
      </c>
      <c r="S250" s="39" t="s">
        <v>68</v>
      </c>
      <c r="T250" s="20"/>
      <c r="U250" s="20" t="s">
        <v>69</v>
      </c>
      <c r="V250" s="20">
        <v>0</v>
      </c>
      <c r="W250" s="20"/>
      <c r="X250" s="20"/>
      <c r="Y250" s="57"/>
      <c r="Z250" s="19"/>
      <c r="AA250" s="58"/>
      <c r="AB250" s="20">
        <v>0</v>
      </c>
      <c r="AC250" s="59" t="s">
        <v>465</v>
      </c>
      <c r="AD250" s="20"/>
      <c r="AE250" s="20"/>
      <c r="AF250" s="20"/>
      <c r="AG250" s="20"/>
      <c r="AH250" s="20"/>
      <c r="AI250" s="14">
        <f t="shared" si="48"/>
        <v>0</v>
      </c>
      <c r="AJ250" s="30">
        <v>1</v>
      </c>
      <c r="AK250" s="14" t="str">
        <f t="shared" si="46"/>
        <v/>
      </c>
      <c r="AL250" s="20"/>
      <c r="AO250" s="14">
        <f t="shared" si="49"/>
        <v>0</v>
      </c>
      <c r="AP250" s="30">
        <v>1</v>
      </c>
      <c r="AQ250" s="14" t="str">
        <f t="shared" si="47"/>
        <v/>
      </c>
      <c r="AR250" s="20"/>
      <c r="AU250" s="14">
        <v>0</v>
      </c>
      <c r="AV250" s="30">
        <v>1</v>
      </c>
      <c r="AW250" s="14" t="str">
        <f t="shared" si="45"/>
        <v/>
      </c>
      <c r="AX250" s="20"/>
      <c r="BA250" s="1">
        <v>1</v>
      </c>
    </row>
    <row r="251" s="1" customFormat="1" ht="27" spans="1:53">
      <c r="A251" s="18" t="s">
        <v>22</v>
      </c>
      <c r="B251" s="14">
        <v>1415</v>
      </c>
      <c r="C251" s="19" t="s">
        <v>466</v>
      </c>
      <c r="D251" s="15">
        <v>100415</v>
      </c>
      <c r="E251" s="20"/>
      <c r="F251" s="20"/>
      <c r="G251" s="20"/>
      <c r="H251" s="20"/>
      <c r="I251" s="30"/>
      <c r="J251" s="29"/>
      <c r="K251" s="29"/>
      <c r="L251" s="20"/>
      <c r="M251" s="20"/>
      <c r="N251" s="30"/>
      <c r="O251" s="30"/>
      <c r="P251" s="30"/>
      <c r="Q251" s="30"/>
      <c r="R251" s="39" t="s">
        <v>68</v>
      </c>
      <c r="S251" s="39" t="s">
        <v>68</v>
      </c>
      <c r="T251" s="20"/>
      <c r="U251" s="20" t="s">
        <v>69</v>
      </c>
      <c r="V251" s="20">
        <v>0</v>
      </c>
      <c r="W251" s="20"/>
      <c r="X251" s="20"/>
      <c r="Y251" s="57"/>
      <c r="Z251" s="19"/>
      <c r="AA251" s="58"/>
      <c r="AB251" s="20">
        <v>0</v>
      </c>
      <c r="AC251" s="59" t="s">
        <v>467</v>
      </c>
      <c r="AD251" s="20"/>
      <c r="AE251" s="20"/>
      <c r="AF251" s="20"/>
      <c r="AG251" s="20"/>
      <c r="AH251" s="20"/>
      <c r="AI251" s="14">
        <f t="shared" si="48"/>
        <v>0</v>
      </c>
      <c r="AJ251" s="30">
        <v>1</v>
      </c>
      <c r="AK251" s="14" t="str">
        <f t="shared" si="46"/>
        <v/>
      </c>
      <c r="AL251" s="20"/>
      <c r="AO251" s="14">
        <f t="shared" si="49"/>
        <v>0</v>
      </c>
      <c r="AP251" s="30">
        <v>1</v>
      </c>
      <c r="AQ251" s="14" t="str">
        <f t="shared" si="47"/>
        <v/>
      </c>
      <c r="AR251" s="20"/>
      <c r="AU251" s="14">
        <v>0</v>
      </c>
      <c r="AV251" s="30">
        <v>1</v>
      </c>
      <c r="AW251" s="14" t="str">
        <f t="shared" si="45"/>
        <v/>
      </c>
      <c r="AX251" s="20"/>
      <c r="BA251" s="1">
        <v>1</v>
      </c>
    </row>
    <row r="252" ht="27" spans="2:53">
      <c r="B252" s="14">
        <v>1416</v>
      </c>
      <c r="C252" s="19" t="s">
        <v>468</v>
      </c>
      <c r="D252" s="15">
        <v>100416</v>
      </c>
      <c r="E252" s="20"/>
      <c r="F252" s="20"/>
      <c r="G252" s="20"/>
      <c r="H252" s="20"/>
      <c r="I252" s="30"/>
      <c r="J252" s="29"/>
      <c r="K252" s="29"/>
      <c r="L252" s="20"/>
      <c r="M252" s="20"/>
      <c r="N252" s="30"/>
      <c r="O252" s="30"/>
      <c r="P252" s="30"/>
      <c r="Q252" s="30"/>
      <c r="R252" s="39" t="s">
        <v>68</v>
      </c>
      <c r="S252" s="39" t="s">
        <v>68</v>
      </c>
      <c r="T252" s="20"/>
      <c r="U252" s="20" t="s">
        <v>69</v>
      </c>
      <c r="V252" s="20">
        <v>0</v>
      </c>
      <c r="W252" s="20"/>
      <c r="X252" s="20"/>
      <c r="Y252" s="57"/>
      <c r="Z252" s="19"/>
      <c r="AA252" s="58"/>
      <c r="AB252" s="20">
        <v>0</v>
      </c>
      <c r="AC252" s="59" t="s">
        <v>469</v>
      </c>
      <c r="AD252" s="20"/>
      <c r="AE252" s="20"/>
      <c r="AF252" s="20"/>
      <c r="AG252" s="20"/>
      <c r="AH252" s="20"/>
      <c r="AI252" s="14">
        <f t="shared" si="48"/>
        <v>0</v>
      </c>
      <c r="AJ252" s="30">
        <v>1</v>
      </c>
      <c r="AK252" s="14" t="str">
        <f t="shared" si="46"/>
        <v/>
      </c>
      <c r="AL252" s="20"/>
      <c r="AM252" s="1"/>
      <c r="AN252" s="1"/>
      <c r="AO252" s="14">
        <f t="shared" si="49"/>
        <v>0</v>
      </c>
      <c r="AP252" s="30">
        <v>1</v>
      </c>
      <c r="AQ252" s="14" t="str">
        <f t="shared" si="47"/>
        <v/>
      </c>
      <c r="AR252" s="20"/>
      <c r="AS252" s="1"/>
      <c r="AT252" s="1"/>
      <c r="AU252" s="14">
        <v>0</v>
      </c>
      <c r="AV252" s="30">
        <v>1</v>
      </c>
      <c r="AW252" s="14" t="str">
        <f t="shared" si="45"/>
        <v/>
      </c>
      <c r="AX252" s="20"/>
      <c r="BA252" s="8">
        <v>1</v>
      </c>
    </row>
    <row r="253" spans="2:53">
      <c r="B253" s="14">
        <v>1417</v>
      </c>
      <c r="C253" s="102" t="s">
        <v>470</v>
      </c>
      <c r="D253" s="15">
        <v>100417</v>
      </c>
      <c r="E253" s="102">
        <v>7</v>
      </c>
      <c r="F253" s="102"/>
      <c r="G253" s="102"/>
      <c r="H253" s="102"/>
      <c r="I253" s="105"/>
      <c r="J253" s="105"/>
      <c r="K253" s="105"/>
      <c r="L253" s="102"/>
      <c r="M253" s="102">
        <v>1</v>
      </c>
      <c r="N253" s="105"/>
      <c r="O253" s="105"/>
      <c r="P253" s="105"/>
      <c r="Q253" s="105"/>
      <c r="R253" s="106" t="s">
        <v>68</v>
      </c>
      <c r="S253" s="106" t="s">
        <v>68</v>
      </c>
      <c r="T253" s="102"/>
      <c r="U253" s="102" t="s">
        <v>69</v>
      </c>
      <c r="V253" s="102">
        <v>0</v>
      </c>
      <c r="W253" s="102"/>
      <c r="X253" s="102"/>
      <c r="Y253" s="111"/>
      <c r="Z253" s="112"/>
      <c r="AA253" s="113"/>
      <c r="AB253" s="102">
        <v>0</v>
      </c>
      <c r="AC253" s="114">
        <v>1</v>
      </c>
      <c r="AD253" s="102"/>
      <c r="AE253" s="102"/>
      <c r="AF253" s="102"/>
      <c r="AG253" s="102"/>
      <c r="AH253" s="102"/>
      <c r="AI253" s="102">
        <f t="shared" si="48"/>
        <v>0</v>
      </c>
      <c r="AJ253" s="105">
        <v>1</v>
      </c>
      <c r="AK253" s="14" t="str">
        <f t="shared" si="46"/>
        <v/>
      </c>
      <c r="AL253" s="102"/>
      <c r="AM253" s="6"/>
      <c r="AN253" s="6"/>
      <c r="AO253" s="102">
        <f t="shared" si="49"/>
        <v>0</v>
      </c>
      <c r="AP253" s="105"/>
      <c r="AQ253" s="14" t="str">
        <f t="shared" si="47"/>
        <v>[1417,0,0];</v>
      </c>
      <c r="AR253" s="102"/>
      <c r="AS253" s="6"/>
      <c r="AT253" s="6"/>
      <c r="AU253" s="14">
        <v>0</v>
      </c>
      <c r="AV253" s="116">
        <v>1</v>
      </c>
      <c r="AW253" s="14" t="str">
        <f t="shared" si="45"/>
        <v/>
      </c>
      <c r="AX253" s="117"/>
      <c r="BA253" s="8">
        <v>1</v>
      </c>
    </row>
    <row r="254" spans="2:53">
      <c r="B254" s="14">
        <v>1418</v>
      </c>
      <c r="C254" s="102" t="s">
        <v>471</v>
      </c>
      <c r="D254" s="15">
        <v>100418</v>
      </c>
      <c r="E254" s="102">
        <v>7</v>
      </c>
      <c r="F254" s="102"/>
      <c r="G254" s="102"/>
      <c r="H254" s="102"/>
      <c r="I254" s="105"/>
      <c r="J254" s="105"/>
      <c r="K254" s="105"/>
      <c r="L254" s="102"/>
      <c r="M254" s="102">
        <v>1</v>
      </c>
      <c r="N254" s="105"/>
      <c r="O254" s="105"/>
      <c r="P254" s="105"/>
      <c r="Q254" s="105"/>
      <c r="R254" s="106" t="s">
        <v>68</v>
      </c>
      <c r="S254" s="106" t="s">
        <v>68</v>
      </c>
      <c r="T254" s="102"/>
      <c r="U254" s="102" t="s">
        <v>69</v>
      </c>
      <c r="V254" s="102">
        <v>0</v>
      </c>
      <c r="W254" s="102"/>
      <c r="X254" s="102"/>
      <c r="Y254" s="111"/>
      <c r="Z254" s="112"/>
      <c r="AA254" s="113"/>
      <c r="AB254" s="102">
        <v>0</v>
      </c>
      <c r="AC254" s="114">
        <v>1</v>
      </c>
      <c r="AD254" s="102"/>
      <c r="AE254" s="102"/>
      <c r="AF254" s="102"/>
      <c r="AG254" s="102"/>
      <c r="AH254" s="102"/>
      <c r="AI254" s="102">
        <f t="shared" si="48"/>
        <v>0</v>
      </c>
      <c r="AJ254" s="105">
        <v>1</v>
      </c>
      <c r="AK254" s="14" t="str">
        <f t="shared" si="46"/>
        <v/>
      </c>
      <c r="AL254" s="102"/>
      <c r="AM254" s="6"/>
      <c r="AN254" s="6"/>
      <c r="AO254" s="102">
        <f t="shared" si="49"/>
        <v>0</v>
      </c>
      <c r="AP254" s="105">
        <v>1</v>
      </c>
      <c r="AQ254" s="14" t="str">
        <f t="shared" si="47"/>
        <v/>
      </c>
      <c r="AR254" s="102"/>
      <c r="AS254" s="6"/>
      <c r="AT254" s="6"/>
      <c r="AU254" s="14">
        <v>0</v>
      </c>
      <c r="AV254" s="116">
        <v>1</v>
      </c>
      <c r="AW254" s="14" t="str">
        <f t="shared" si="45"/>
        <v/>
      </c>
      <c r="AX254" s="117"/>
      <c r="BA254" s="8">
        <v>1</v>
      </c>
    </row>
    <row r="255" spans="2:53">
      <c r="B255" s="14">
        <v>1419</v>
      </c>
      <c r="C255" s="102" t="s">
        <v>472</v>
      </c>
      <c r="D255" s="15">
        <v>100419</v>
      </c>
      <c r="E255" s="102">
        <v>7</v>
      </c>
      <c r="F255" s="102"/>
      <c r="G255" s="102"/>
      <c r="H255" s="102"/>
      <c r="I255" s="105"/>
      <c r="J255" s="105"/>
      <c r="K255" s="105"/>
      <c r="L255" s="102"/>
      <c r="M255" s="102">
        <v>1</v>
      </c>
      <c r="N255" s="105"/>
      <c r="O255" s="105"/>
      <c r="P255" s="105"/>
      <c r="Q255" s="105"/>
      <c r="R255" s="106" t="s">
        <v>68</v>
      </c>
      <c r="S255" s="106" t="s">
        <v>68</v>
      </c>
      <c r="T255" s="102"/>
      <c r="U255" s="102" t="s">
        <v>69</v>
      </c>
      <c r="V255" s="102">
        <v>0</v>
      </c>
      <c r="W255" s="102"/>
      <c r="X255" s="102"/>
      <c r="Y255" s="111"/>
      <c r="Z255" s="112"/>
      <c r="AA255" s="113"/>
      <c r="AB255" s="102">
        <v>0</v>
      </c>
      <c r="AC255" s="114">
        <v>1</v>
      </c>
      <c r="AD255" s="102"/>
      <c r="AE255" s="102"/>
      <c r="AF255" s="102"/>
      <c r="AG255" s="102"/>
      <c r="AH255" s="102"/>
      <c r="AI255" s="102">
        <f t="shared" si="48"/>
        <v>0</v>
      </c>
      <c r="AJ255" s="105">
        <v>1</v>
      </c>
      <c r="AK255" s="14" t="str">
        <f t="shared" si="46"/>
        <v/>
      </c>
      <c r="AL255" s="102"/>
      <c r="AM255" s="6"/>
      <c r="AN255" s="6"/>
      <c r="AO255" s="102">
        <f t="shared" si="49"/>
        <v>0</v>
      </c>
      <c r="AP255" s="105">
        <v>1</v>
      </c>
      <c r="AQ255" s="14" t="str">
        <f t="shared" si="47"/>
        <v/>
      </c>
      <c r="AR255" s="102"/>
      <c r="AS255" s="6"/>
      <c r="AT255" s="6"/>
      <c r="AU255" s="14">
        <v>0</v>
      </c>
      <c r="AV255" s="116">
        <v>1</v>
      </c>
      <c r="AW255" s="14" t="str">
        <f t="shared" si="45"/>
        <v/>
      </c>
      <c r="AX255" s="117"/>
      <c r="BA255" s="8">
        <v>1</v>
      </c>
    </row>
    <row r="256" spans="2:53">
      <c r="B256" s="14">
        <v>1420</v>
      </c>
      <c r="C256" s="102" t="s">
        <v>473</v>
      </c>
      <c r="D256" s="15">
        <v>100420</v>
      </c>
      <c r="E256" s="102">
        <v>7</v>
      </c>
      <c r="F256" s="102"/>
      <c r="G256" s="102"/>
      <c r="H256" s="102"/>
      <c r="I256" s="105"/>
      <c r="J256" s="105"/>
      <c r="K256" s="105"/>
      <c r="L256" s="102"/>
      <c r="M256" s="102">
        <v>1</v>
      </c>
      <c r="N256" s="105"/>
      <c r="O256" s="105"/>
      <c r="P256" s="105"/>
      <c r="Q256" s="105"/>
      <c r="R256" s="106" t="s">
        <v>68</v>
      </c>
      <c r="S256" s="106" t="s">
        <v>68</v>
      </c>
      <c r="T256" s="102"/>
      <c r="U256" s="102" t="s">
        <v>69</v>
      </c>
      <c r="V256" s="102">
        <v>0</v>
      </c>
      <c r="W256" s="102"/>
      <c r="X256" s="102"/>
      <c r="Y256" s="111"/>
      <c r="Z256" s="112"/>
      <c r="AA256" s="113"/>
      <c r="AB256" s="102">
        <v>0</v>
      </c>
      <c r="AC256" s="114">
        <v>1</v>
      </c>
      <c r="AD256" s="102"/>
      <c r="AE256" s="102"/>
      <c r="AF256" s="102"/>
      <c r="AG256" s="102"/>
      <c r="AH256" s="102"/>
      <c r="AI256" s="102">
        <f t="shared" si="48"/>
        <v>0</v>
      </c>
      <c r="AJ256" s="105">
        <v>1</v>
      </c>
      <c r="AK256" s="14" t="str">
        <f t="shared" si="46"/>
        <v/>
      </c>
      <c r="AL256" s="102"/>
      <c r="AM256" s="6"/>
      <c r="AN256" s="6"/>
      <c r="AO256" s="102">
        <f t="shared" si="49"/>
        <v>0</v>
      </c>
      <c r="AP256" s="105">
        <v>1</v>
      </c>
      <c r="AQ256" s="14" t="str">
        <f t="shared" si="47"/>
        <v/>
      </c>
      <c r="AR256" s="102"/>
      <c r="AS256" s="6"/>
      <c r="AT256" s="6"/>
      <c r="AU256" s="14">
        <v>0</v>
      </c>
      <c r="AV256" s="116">
        <v>1</v>
      </c>
      <c r="AW256" s="14" t="str">
        <f t="shared" si="45"/>
        <v/>
      </c>
      <c r="AX256" s="117"/>
      <c r="BA256" s="8">
        <v>1</v>
      </c>
    </row>
    <row r="257" spans="2:53">
      <c r="B257" s="14">
        <v>1421</v>
      </c>
      <c r="C257" s="102" t="s">
        <v>474</v>
      </c>
      <c r="D257" s="15">
        <v>100421</v>
      </c>
      <c r="E257" s="102">
        <v>7</v>
      </c>
      <c r="F257" s="102"/>
      <c r="G257" s="102"/>
      <c r="H257" s="102"/>
      <c r="I257" s="105"/>
      <c r="J257" s="105"/>
      <c r="K257" s="105"/>
      <c r="L257" s="102"/>
      <c r="M257" s="102">
        <v>1</v>
      </c>
      <c r="N257" s="105"/>
      <c r="O257" s="105"/>
      <c r="P257" s="105"/>
      <c r="Q257" s="105"/>
      <c r="R257" s="106" t="s">
        <v>68</v>
      </c>
      <c r="S257" s="106" t="s">
        <v>68</v>
      </c>
      <c r="T257" s="102"/>
      <c r="U257" s="102" t="s">
        <v>69</v>
      </c>
      <c r="V257" s="102">
        <v>0</v>
      </c>
      <c r="W257" s="102"/>
      <c r="X257" s="102"/>
      <c r="Y257" s="111"/>
      <c r="Z257" s="112"/>
      <c r="AA257" s="113"/>
      <c r="AB257" s="102">
        <v>0</v>
      </c>
      <c r="AC257" s="114">
        <v>1</v>
      </c>
      <c r="AD257" s="102"/>
      <c r="AE257" s="102"/>
      <c r="AF257" s="102"/>
      <c r="AG257" s="102"/>
      <c r="AH257" s="102"/>
      <c r="AI257" s="102">
        <f t="shared" si="48"/>
        <v>0</v>
      </c>
      <c r="AJ257" s="105">
        <v>1</v>
      </c>
      <c r="AK257" s="14" t="str">
        <f t="shared" si="46"/>
        <v/>
      </c>
      <c r="AL257" s="102"/>
      <c r="AM257" s="6"/>
      <c r="AN257" s="6"/>
      <c r="AO257" s="102">
        <f t="shared" si="49"/>
        <v>0</v>
      </c>
      <c r="AP257" s="105">
        <v>1</v>
      </c>
      <c r="AQ257" s="14" t="str">
        <f t="shared" si="47"/>
        <v/>
      </c>
      <c r="AR257" s="102"/>
      <c r="AS257" s="6"/>
      <c r="AT257" s="6"/>
      <c r="AU257" s="14">
        <v>0</v>
      </c>
      <c r="AV257" s="116">
        <v>1</v>
      </c>
      <c r="AW257" s="14" t="str">
        <f t="shared" si="45"/>
        <v/>
      </c>
      <c r="AX257" s="117"/>
      <c r="BA257" s="8">
        <v>1</v>
      </c>
    </row>
    <row r="258" spans="2:53">
      <c r="B258" s="14">
        <v>1422</v>
      </c>
      <c r="C258" s="17" t="s">
        <v>475</v>
      </c>
      <c r="D258" s="15">
        <v>100422</v>
      </c>
      <c r="E258" s="17"/>
      <c r="F258" s="17"/>
      <c r="G258" s="17"/>
      <c r="H258" s="17"/>
      <c r="I258" s="29"/>
      <c r="J258" s="29"/>
      <c r="K258" s="29"/>
      <c r="L258" s="17"/>
      <c r="M258" s="17"/>
      <c r="N258" s="29"/>
      <c r="O258" s="29"/>
      <c r="P258" s="29"/>
      <c r="Q258" s="29"/>
      <c r="R258" s="38" t="s">
        <v>68</v>
      </c>
      <c r="S258" s="38" t="s">
        <v>68</v>
      </c>
      <c r="T258" s="17"/>
      <c r="U258" s="17" t="s">
        <v>69</v>
      </c>
      <c r="V258" s="17">
        <v>0</v>
      </c>
      <c r="W258" s="17"/>
      <c r="X258" s="17"/>
      <c r="Y258" s="53"/>
      <c r="Z258" s="16"/>
      <c r="AA258" s="54"/>
      <c r="AB258" s="17">
        <v>0</v>
      </c>
      <c r="AC258" s="55">
        <v>1</v>
      </c>
      <c r="AD258" s="17"/>
      <c r="AE258" s="17"/>
      <c r="AF258" s="17"/>
      <c r="AG258" s="17"/>
      <c r="AH258" s="17"/>
      <c r="AI258" s="14">
        <f t="shared" si="48"/>
        <v>0</v>
      </c>
      <c r="AJ258" s="29">
        <v>1</v>
      </c>
      <c r="AK258" s="14" t="str">
        <f t="shared" si="46"/>
        <v/>
      </c>
      <c r="AL258" s="17"/>
      <c r="AO258" s="14">
        <f t="shared" si="49"/>
        <v>0</v>
      </c>
      <c r="AP258" s="29"/>
      <c r="AQ258" s="14" t="str">
        <f t="shared" si="47"/>
        <v>[1422,0,0];</v>
      </c>
      <c r="AR258" s="17"/>
      <c r="AU258" s="14">
        <v>0</v>
      </c>
      <c r="AV258" s="29">
        <v>1</v>
      </c>
      <c r="AW258" s="14" t="str">
        <f t="shared" si="45"/>
        <v/>
      </c>
      <c r="AX258" s="17"/>
      <c r="BA258" s="8">
        <v>1</v>
      </c>
    </row>
    <row r="259" ht="27" spans="2:53">
      <c r="B259" s="14">
        <v>1423</v>
      </c>
      <c r="C259" s="19" t="s">
        <v>476</v>
      </c>
      <c r="D259" s="15">
        <v>100423</v>
      </c>
      <c r="E259" s="20"/>
      <c r="F259" s="20"/>
      <c r="G259" s="20"/>
      <c r="H259" s="20"/>
      <c r="I259" s="30"/>
      <c r="J259" s="29"/>
      <c r="K259" s="29"/>
      <c r="L259" s="20"/>
      <c r="M259" s="20"/>
      <c r="N259" s="30"/>
      <c r="O259" s="30"/>
      <c r="P259" s="30"/>
      <c r="Q259" s="30"/>
      <c r="R259" s="39" t="s">
        <v>68</v>
      </c>
      <c r="S259" s="39" t="s">
        <v>68</v>
      </c>
      <c r="T259" s="20"/>
      <c r="U259" s="20" t="s">
        <v>69</v>
      </c>
      <c r="V259" s="20">
        <v>0</v>
      </c>
      <c r="W259" s="20"/>
      <c r="X259" s="20"/>
      <c r="Y259" s="57"/>
      <c r="Z259" s="19"/>
      <c r="AA259" s="58"/>
      <c r="AB259" s="20">
        <v>0</v>
      </c>
      <c r="AC259" s="59" t="s">
        <v>477</v>
      </c>
      <c r="AD259" s="20"/>
      <c r="AE259" s="20"/>
      <c r="AF259" s="20"/>
      <c r="AG259" s="20"/>
      <c r="AH259" s="20"/>
      <c r="AI259" s="14">
        <f t="shared" si="48"/>
        <v>0</v>
      </c>
      <c r="AJ259" s="30">
        <v>1</v>
      </c>
      <c r="AK259" s="14" t="str">
        <f t="shared" si="46"/>
        <v/>
      </c>
      <c r="AL259" s="20"/>
      <c r="AM259" s="1"/>
      <c r="AN259" s="1"/>
      <c r="AO259" s="14">
        <f t="shared" si="49"/>
        <v>0</v>
      </c>
      <c r="AP259" s="30">
        <v>1</v>
      </c>
      <c r="AQ259" s="14" t="str">
        <f t="shared" si="47"/>
        <v/>
      </c>
      <c r="AR259" s="20"/>
      <c r="AS259" s="1"/>
      <c r="AT259" s="1"/>
      <c r="AU259" s="14">
        <v>0</v>
      </c>
      <c r="AV259" s="30">
        <v>1</v>
      </c>
      <c r="AW259" s="14" t="str">
        <f t="shared" si="45"/>
        <v/>
      </c>
      <c r="AX259" s="20"/>
      <c r="BA259" s="8">
        <v>1</v>
      </c>
    </row>
    <row r="260" ht="27" spans="2:53">
      <c r="B260" s="14">
        <v>1424</v>
      </c>
      <c r="C260" s="19" t="s">
        <v>478</v>
      </c>
      <c r="D260" s="15">
        <v>100424</v>
      </c>
      <c r="E260" s="20"/>
      <c r="F260" s="20"/>
      <c r="G260" s="20"/>
      <c r="H260" s="20"/>
      <c r="I260" s="30"/>
      <c r="J260" s="29"/>
      <c r="K260" s="29"/>
      <c r="L260" s="20"/>
      <c r="M260" s="20"/>
      <c r="N260" s="30"/>
      <c r="O260" s="30"/>
      <c r="P260" s="30"/>
      <c r="Q260" s="30"/>
      <c r="R260" s="39" t="s">
        <v>68</v>
      </c>
      <c r="S260" s="39" t="s">
        <v>68</v>
      </c>
      <c r="T260" s="20"/>
      <c r="U260" s="20" t="s">
        <v>69</v>
      </c>
      <c r="V260" s="20">
        <v>0</v>
      </c>
      <c r="W260" s="20"/>
      <c r="X260" s="20"/>
      <c r="Y260" s="57"/>
      <c r="Z260" s="19"/>
      <c r="AA260" s="58"/>
      <c r="AB260" s="20">
        <v>0</v>
      </c>
      <c r="AC260" s="59" t="s">
        <v>479</v>
      </c>
      <c r="AD260" s="20"/>
      <c r="AE260" s="20"/>
      <c r="AF260" s="20"/>
      <c r="AG260" s="20"/>
      <c r="AH260" s="20"/>
      <c r="AI260" s="14">
        <f t="shared" si="48"/>
        <v>0</v>
      </c>
      <c r="AJ260" s="30">
        <v>1</v>
      </c>
      <c r="AK260" s="14" t="str">
        <f t="shared" si="46"/>
        <v/>
      </c>
      <c r="AL260" s="20"/>
      <c r="AM260" s="1"/>
      <c r="AN260" s="1"/>
      <c r="AO260" s="14">
        <f t="shared" si="49"/>
        <v>0</v>
      </c>
      <c r="AP260" s="30">
        <v>1</v>
      </c>
      <c r="AQ260" s="14" t="str">
        <f t="shared" si="47"/>
        <v/>
      </c>
      <c r="AR260" s="20"/>
      <c r="AS260" s="1"/>
      <c r="AT260" s="1"/>
      <c r="AU260" s="14">
        <v>0</v>
      </c>
      <c r="AV260" s="30">
        <v>1</v>
      </c>
      <c r="AW260" s="14" t="str">
        <f t="shared" si="45"/>
        <v/>
      </c>
      <c r="AX260" s="20"/>
      <c r="BA260" s="8">
        <v>1</v>
      </c>
    </row>
    <row r="261" ht="27" spans="2:53">
      <c r="B261" s="14">
        <v>1425</v>
      </c>
      <c r="C261" s="19" t="s">
        <v>480</v>
      </c>
      <c r="D261" s="15">
        <v>100425</v>
      </c>
      <c r="E261" s="20"/>
      <c r="F261" s="20"/>
      <c r="G261" s="20"/>
      <c r="H261" s="20"/>
      <c r="I261" s="30"/>
      <c r="J261" s="29"/>
      <c r="K261" s="29"/>
      <c r="L261" s="20"/>
      <c r="M261" s="20"/>
      <c r="N261" s="30"/>
      <c r="O261" s="30"/>
      <c r="P261" s="30"/>
      <c r="Q261" s="30"/>
      <c r="R261" s="39" t="s">
        <v>68</v>
      </c>
      <c r="S261" s="39" t="s">
        <v>68</v>
      </c>
      <c r="T261" s="20"/>
      <c r="U261" s="20" t="s">
        <v>69</v>
      </c>
      <c r="V261" s="20">
        <v>0</v>
      </c>
      <c r="W261" s="20"/>
      <c r="X261" s="20"/>
      <c r="Y261" s="57"/>
      <c r="Z261" s="19"/>
      <c r="AA261" s="58"/>
      <c r="AB261" s="20">
        <v>0</v>
      </c>
      <c r="AC261" s="59" t="s">
        <v>481</v>
      </c>
      <c r="AD261" s="20"/>
      <c r="AE261" s="20"/>
      <c r="AF261" s="20"/>
      <c r="AG261" s="20"/>
      <c r="AH261" s="20"/>
      <c r="AI261" s="14">
        <f t="shared" si="48"/>
        <v>0</v>
      </c>
      <c r="AJ261" s="30">
        <v>1</v>
      </c>
      <c r="AK261" s="14" t="str">
        <f t="shared" si="46"/>
        <v/>
      </c>
      <c r="AL261" s="20"/>
      <c r="AM261" s="1"/>
      <c r="AN261" s="1"/>
      <c r="AO261" s="14">
        <f t="shared" si="49"/>
        <v>0</v>
      </c>
      <c r="AP261" s="30">
        <v>1</v>
      </c>
      <c r="AQ261" s="14" t="str">
        <f t="shared" si="47"/>
        <v/>
      </c>
      <c r="AR261" s="20"/>
      <c r="AS261" s="1"/>
      <c r="AT261" s="1"/>
      <c r="AU261" s="14">
        <v>0</v>
      </c>
      <c r="AV261" s="30">
        <v>1</v>
      </c>
      <c r="AW261" s="14" t="str">
        <f t="shared" si="45"/>
        <v/>
      </c>
      <c r="AX261" s="20"/>
      <c r="BA261" s="8">
        <v>1</v>
      </c>
    </row>
    <row r="262" ht="27" spans="2:53">
      <c r="B262" s="14">
        <v>1426</v>
      </c>
      <c r="C262" s="19" t="s">
        <v>482</v>
      </c>
      <c r="D262" s="15">
        <v>100426</v>
      </c>
      <c r="E262" s="20"/>
      <c r="F262" s="20"/>
      <c r="G262" s="20"/>
      <c r="H262" s="20"/>
      <c r="I262" s="30"/>
      <c r="J262" s="29"/>
      <c r="K262" s="29"/>
      <c r="L262" s="20"/>
      <c r="M262" s="20"/>
      <c r="N262" s="30"/>
      <c r="O262" s="30"/>
      <c r="P262" s="30"/>
      <c r="Q262" s="30"/>
      <c r="R262" s="39" t="s">
        <v>68</v>
      </c>
      <c r="S262" s="39" t="s">
        <v>68</v>
      </c>
      <c r="T262" s="20"/>
      <c r="U262" s="20" t="s">
        <v>69</v>
      </c>
      <c r="V262" s="20">
        <v>0</v>
      </c>
      <c r="W262" s="20"/>
      <c r="X262" s="20"/>
      <c r="Y262" s="57"/>
      <c r="Z262" s="19"/>
      <c r="AA262" s="58"/>
      <c r="AB262" s="20">
        <v>0</v>
      </c>
      <c r="AC262" s="59" t="s">
        <v>483</v>
      </c>
      <c r="AD262" s="20"/>
      <c r="AE262" s="20"/>
      <c r="AF262" s="20"/>
      <c r="AG262" s="20"/>
      <c r="AH262" s="20"/>
      <c r="AI262" s="14">
        <f t="shared" si="48"/>
        <v>0</v>
      </c>
      <c r="AJ262" s="30">
        <v>1</v>
      </c>
      <c r="AK262" s="14" t="str">
        <f t="shared" si="46"/>
        <v/>
      </c>
      <c r="AL262" s="20"/>
      <c r="AM262" s="1"/>
      <c r="AN262" s="1"/>
      <c r="AO262" s="14">
        <f t="shared" si="49"/>
        <v>0</v>
      </c>
      <c r="AP262" s="30">
        <v>1</v>
      </c>
      <c r="AQ262" s="14" t="str">
        <f t="shared" si="47"/>
        <v/>
      </c>
      <c r="AR262" s="20"/>
      <c r="AS262" s="1"/>
      <c r="AT262" s="1"/>
      <c r="AU262" s="14">
        <v>0</v>
      </c>
      <c r="AV262" s="30">
        <v>1</v>
      </c>
      <c r="AW262" s="14" t="str">
        <f t="shared" si="45"/>
        <v/>
      </c>
      <c r="AX262" s="20"/>
      <c r="BA262" s="8">
        <v>1</v>
      </c>
    </row>
    <row r="263" ht="27" spans="2:53">
      <c r="B263" s="14">
        <v>1427</v>
      </c>
      <c r="C263" s="19" t="s">
        <v>484</v>
      </c>
      <c r="D263" s="15">
        <v>100427</v>
      </c>
      <c r="E263" s="20"/>
      <c r="F263" s="20"/>
      <c r="G263" s="20"/>
      <c r="H263" s="20"/>
      <c r="I263" s="30"/>
      <c r="J263" s="29"/>
      <c r="K263" s="29"/>
      <c r="L263" s="20"/>
      <c r="M263" s="20"/>
      <c r="N263" s="30"/>
      <c r="O263" s="30"/>
      <c r="P263" s="30"/>
      <c r="Q263" s="30"/>
      <c r="R263" s="39" t="s">
        <v>68</v>
      </c>
      <c r="S263" s="39" t="s">
        <v>68</v>
      </c>
      <c r="T263" s="20"/>
      <c r="U263" s="20" t="s">
        <v>69</v>
      </c>
      <c r="V263" s="20">
        <v>0</v>
      </c>
      <c r="W263" s="20"/>
      <c r="X263" s="20"/>
      <c r="Y263" s="57"/>
      <c r="Z263" s="19"/>
      <c r="AA263" s="58"/>
      <c r="AB263" s="20">
        <v>0</v>
      </c>
      <c r="AC263" s="59" t="s">
        <v>485</v>
      </c>
      <c r="AD263" s="20"/>
      <c r="AE263" s="20"/>
      <c r="AF263" s="20"/>
      <c r="AG263" s="20"/>
      <c r="AH263" s="20"/>
      <c r="AI263" s="14">
        <f t="shared" si="48"/>
        <v>0</v>
      </c>
      <c r="AJ263" s="30">
        <v>1</v>
      </c>
      <c r="AK263" s="14" t="str">
        <f t="shared" si="46"/>
        <v/>
      </c>
      <c r="AL263" s="20"/>
      <c r="AM263" s="1"/>
      <c r="AN263" s="1"/>
      <c r="AO263" s="14">
        <f t="shared" si="49"/>
        <v>0</v>
      </c>
      <c r="AP263" s="30">
        <v>1</v>
      </c>
      <c r="AQ263" s="14" t="str">
        <f t="shared" si="47"/>
        <v/>
      </c>
      <c r="AR263" s="20"/>
      <c r="AS263" s="1"/>
      <c r="AT263" s="1"/>
      <c r="AU263" s="14">
        <v>0</v>
      </c>
      <c r="AV263" s="30">
        <v>1</v>
      </c>
      <c r="AW263" s="14" t="str">
        <f t="shared" si="45"/>
        <v/>
      </c>
      <c r="AX263" s="20"/>
      <c r="BA263" s="8">
        <v>1</v>
      </c>
    </row>
    <row r="264" spans="2:53">
      <c r="B264" s="14">
        <v>1428</v>
      </c>
      <c r="C264" s="16" t="s">
        <v>486</v>
      </c>
      <c r="D264" s="15">
        <v>100428</v>
      </c>
      <c r="E264" s="17"/>
      <c r="F264" s="17"/>
      <c r="G264" s="17"/>
      <c r="H264" s="17"/>
      <c r="I264" s="29"/>
      <c r="J264" s="29"/>
      <c r="K264" s="29"/>
      <c r="L264" s="17"/>
      <c r="M264" s="17"/>
      <c r="N264" s="29"/>
      <c r="O264" s="29"/>
      <c r="P264" s="29"/>
      <c r="Q264" s="29"/>
      <c r="R264" s="38" t="s">
        <v>68</v>
      </c>
      <c r="S264" s="38" t="s">
        <v>68</v>
      </c>
      <c r="T264" s="17"/>
      <c r="U264" s="17" t="s">
        <v>162</v>
      </c>
      <c r="V264" s="17">
        <v>0</v>
      </c>
      <c r="W264" s="17"/>
      <c r="X264" s="17"/>
      <c r="Y264" s="53"/>
      <c r="Z264" s="16"/>
      <c r="AA264" s="54"/>
      <c r="AB264" s="17">
        <v>0</v>
      </c>
      <c r="AC264" s="17">
        <v>1</v>
      </c>
      <c r="AD264" s="17"/>
      <c r="AE264" s="17"/>
      <c r="AF264" s="17"/>
      <c r="AG264" s="17"/>
      <c r="AH264" s="17"/>
      <c r="AI264" s="14">
        <f t="shared" si="48"/>
        <v>0</v>
      </c>
      <c r="AJ264" s="29">
        <v>1</v>
      </c>
      <c r="AK264" s="14" t="str">
        <f>IF(AJ264=1,"",IF(#REF!="","["&amp;B264&amp;","&amp;AI264&amp;",0]","["&amp;B264&amp;","&amp;AI264&amp;",0];"))</f>
        <v/>
      </c>
      <c r="AL264" s="17"/>
      <c r="AO264" s="14">
        <f t="shared" si="49"/>
        <v>0</v>
      </c>
      <c r="AP264" s="29"/>
      <c r="AQ264" s="14" t="e">
        <f>IF(AP264=1,"",IF(#REF!="","["&amp;B264&amp;","&amp;AO264&amp;",0]","["&amp;B264&amp;","&amp;AO264&amp;",0];"))</f>
        <v>#REF!</v>
      </c>
      <c r="AR264" s="17"/>
      <c r="AU264" s="14">
        <v>0</v>
      </c>
      <c r="AV264" s="29">
        <v>1</v>
      </c>
      <c r="AW264" s="14" t="str">
        <f>IF(AV264=1,"",IF(#REF!="","["&amp;B264&amp;","&amp;AU264&amp;",0]","["&amp;B264&amp;","&amp;AU264&amp;",0];"))</f>
        <v/>
      </c>
      <c r="AX264" s="17"/>
      <c r="BA264" s="8">
        <v>1</v>
      </c>
    </row>
    <row r="265" spans="2:50">
      <c r="B265" s="14">
        <v>1464</v>
      </c>
      <c r="C265" s="16" t="s">
        <v>487</v>
      </c>
      <c r="D265" s="15">
        <v>100464</v>
      </c>
      <c r="E265" s="17"/>
      <c r="F265" s="17"/>
      <c r="G265" s="17"/>
      <c r="H265" s="17"/>
      <c r="I265" s="29"/>
      <c r="J265" s="29"/>
      <c r="K265" s="29"/>
      <c r="L265" s="17"/>
      <c r="M265" s="17"/>
      <c r="N265" s="29"/>
      <c r="O265" s="29"/>
      <c r="P265" s="29"/>
      <c r="Q265" s="29"/>
      <c r="R265" s="38" t="s">
        <v>68</v>
      </c>
      <c r="S265" s="38" t="s">
        <v>68</v>
      </c>
      <c r="T265" s="17"/>
      <c r="U265" s="17" t="s">
        <v>162</v>
      </c>
      <c r="V265" s="17">
        <v>0</v>
      </c>
      <c r="W265" s="17"/>
      <c r="X265" s="17"/>
      <c r="Y265" s="53"/>
      <c r="Z265" s="16"/>
      <c r="AA265" s="54"/>
      <c r="AB265" s="17">
        <v>0</v>
      </c>
      <c r="AC265" s="17">
        <v>1</v>
      </c>
      <c r="AD265" s="17"/>
      <c r="AE265" s="17"/>
      <c r="AF265" s="17"/>
      <c r="AG265" s="17"/>
      <c r="AH265" s="17"/>
      <c r="AI265" s="14">
        <f t="shared" ref="AI265:AI280" si="50">IF(AA265="",0,AA265)</f>
        <v>0</v>
      </c>
      <c r="AJ265" s="29"/>
      <c r="AK265" s="14" t="str">
        <f>IF(AJ265=1,"",IF(B266="","["&amp;B265&amp;","&amp;AI265&amp;",0]","["&amp;B265&amp;","&amp;AI265&amp;",0];"))</f>
        <v>[1464,0,0];</v>
      </c>
      <c r="AL265" s="17"/>
      <c r="AO265" s="14">
        <f t="shared" ref="AO265:AO275" si="51">IF(AA265="",0,AA265)</f>
        <v>0</v>
      </c>
      <c r="AP265" s="29"/>
      <c r="AQ265" s="14" t="str">
        <f>IF(AP265=1,"",IF(B266="","["&amp;B265&amp;","&amp;AO265&amp;",0]","["&amp;B265&amp;","&amp;AO265&amp;",0];"))</f>
        <v>[1464,0,0];</v>
      </c>
      <c r="AR265" s="17"/>
      <c r="AU265" s="14">
        <v>0</v>
      </c>
      <c r="AV265" s="29"/>
      <c r="AW265" s="14" t="str">
        <f>IF(AV265=1,"",IF(B266="","["&amp;B265&amp;","&amp;AU265&amp;",0]","["&amp;B265&amp;","&amp;AU265&amp;",0];"))</f>
        <v>[1464,0,0];</v>
      </c>
      <c r="AX265" s="17"/>
    </row>
    <row r="266" spans="2:50">
      <c r="B266" s="14">
        <v>1465</v>
      </c>
      <c r="C266" s="16" t="s">
        <v>488</v>
      </c>
      <c r="D266" s="15">
        <v>100465</v>
      </c>
      <c r="E266" s="17"/>
      <c r="F266" s="17"/>
      <c r="G266" s="17"/>
      <c r="H266" s="17"/>
      <c r="I266" s="29"/>
      <c r="J266" s="29"/>
      <c r="K266" s="29"/>
      <c r="L266" s="17"/>
      <c r="M266" s="17"/>
      <c r="N266" s="29"/>
      <c r="O266" s="29"/>
      <c r="P266" s="29"/>
      <c r="Q266" s="29"/>
      <c r="R266" s="38" t="s">
        <v>68</v>
      </c>
      <c r="S266" s="38" t="s">
        <v>68</v>
      </c>
      <c r="T266" s="17"/>
      <c r="U266" s="17" t="s">
        <v>162</v>
      </c>
      <c r="V266" s="17">
        <v>0</v>
      </c>
      <c r="W266" s="17"/>
      <c r="X266" s="17"/>
      <c r="Y266" s="53"/>
      <c r="Z266" s="16"/>
      <c r="AA266" s="54"/>
      <c r="AB266" s="17">
        <v>0</v>
      </c>
      <c r="AC266" s="17">
        <v>1</v>
      </c>
      <c r="AD266" s="17"/>
      <c r="AE266" s="17"/>
      <c r="AF266" s="17"/>
      <c r="AG266" s="17"/>
      <c r="AH266" s="17"/>
      <c r="AI266" s="14">
        <f t="shared" si="50"/>
        <v>0</v>
      </c>
      <c r="AJ266" s="29"/>
      <c r="AK266" s="14" t="str">
        <f>IF(AJ266=1,"",IF(B267="","["&amp;B266&amp;","&amp;AI266&amp;",0]","["&amp;B266&amp;","&amp;AI266&amp;",0];"))</f>
        <v>[1465,0,0];</v>
      </c>
      <c r="AL266" s="17"/>
      <c r="AO266" s="14">
        <f t="shared" si="51"/>
        <v>0</v>
      </c>
      <c r="AP266" s="29"/>
      <c r="AQ266" s="14" t="str">
        <f>IF(AP266=1,"",IF(B267="","["&amp;B266&amp;","&amp;AO266&amp;",0]","["&amp;B266&amp;","&amp;AO266&amp;",0];"))</f>
        <v>[1465,0,0];</v>
      </c>
      <c r="AR266" s="17"/>
      <c r="AU266" s="14">
        <v>0</v>
      </c>
      <c r="AV266" s="29"/>
      <c r="AW266" s="14" t="str">
        <f>IF(AV266=1,"",IF(B267="","["&amp;B266&amp;","&amp;AU266&amp;",0]","["&amp;B266&amp;","&amp;AU266&amp;",0];"))</f>
        <v>[1465,0,0];</v>
      </c>
      <c r="AX266" s="17"/>
    </row>
    <row r="267" spans="2:50">
      <c r="B267" s="14">
        <v>1466</v>
      </c>
      <c r="C267" s="16" t="s">
        <v>489</v>
      </c>
      <c r="D267" s="15">
        <v>100466</v>
      </c>
      <c r="E267" s="17">
        <v>7</v>
      </c>
      <c r="F267" s="17"/>
      <c r="G267" s="17"/>
      <c r="H267" s="17"/>
      <c r="I267" s="29"/>
      <c r="J267" s="29"/>
      <c r="K267" s="29"/>
      <c r="L267" s="17"/>
      <c r="M267" s="17">
        <v>1</v>
      </c>
      <c r="N267" s="29"/>
      <c r="O267" s="29"/>
      <c r="P267" s="29"/>
      <c r="Q267" s="29"/>
      <c r="R267" s="38" t="s">
        <v>68</v>
      </c>
      <c r="S267" s="38" t="s">
        <v>68</v>
      </c>
      <c r="T267" s="8">
        <v>130001</v>
      </c>
      <c r="U267" s="17" t="s">
        <v>162</v>
      </c>
      <c r="V267" s="17">
        <v>0</v>
      </c>
      <c r="W267" s="17"/>
      <c r="X267" s="17"/>
      <c r="Y267" s="53"/>
      <c r="Z267" s="16"/>
      <c r="AA267" s="54"/>
      <c r="AB267" s="17">
        <v>0</v>
      </c>
      <c r="AC267" s="17"/>
      <c r="AD267" s="17"/>
      <c r="AE267" s="17"/>
      <c r="AF267" s="17"/>
      <c r="AG267" s="17"/>
      <c r="AH267" s="17"/>
      <c r="AI267" s="14">
        <f t="shared" si="50"/>
        <v>0</v>
      </c>
      <c r="AJ267" s="29"/>
      <c r="AK267" s="14" t="str">
        <f>IF(AJ267=1,"",IF(B268="","["&amp;B267&amp;","&amp;AI267&amp;",0]","["&amp;B267&amp;","&amp;AI267&amp;",0];"))</f>
        <v>[1466,0,0];</v>
      </c>
      <c r="AL267" s="17"/>
      <c r="AO267" s="14">
        <f t="shared" si="51"/>
        <v>0</v>
      </c>
      <c r="AP267" s="29"/>
      <c r="AQ267" s="14" t="str">
        <f>IF(AP267=1,"",IF(B268="","["&amp;B267&amp;","&amp;AO267&amp;",0]","["&amp;B267&amp;","&amp;AO267&amp;",0];"))</f>
        <v>[1466,0,0];</v>
      </c>
      <c r="AR267" s="17"/>
      <c r="AU267" s="14">
        <v>0</v>
      </c>
      <c r="AV267" s="29"/>
      <c r="AW267" s="14" t="str">
        <f>IF(AV267=1,"",IF(B268="","["&amp;B267&amp;","&amp;AU267&amp;",0]","["&amp;B267&amp;","&amp;AU267&amp;",0];"))</f>
        <v>[1466,0,0];</v>
      </c>
      <c r="AX267" s="17"/>
    </row>
    <row r="268" spans="2:50">
      <c r="B268" s="14">
        <v>1467</v>
      </c>
      <c r="C268" s="16" t="s">
        <v>490</v>
      </c>
      <c r="D268" s="15">
        <v>100467</v>
      </c>
      <c r="E268" s="17">
        <v>7</v>
      </c>
      <c r="F268" s="17"/>
      <c r="G268" s="17"/>
      <c r="H268" s="17"/>
      <c r="I268" s="29"/>
      <c r="J268" s="29"/>
      <c r="K268" s="29"/>
      <c r="L268" s="17"/>
      <c r="M268" s="17">
        <v>1</v>
      </c>
      <c r="N268" s="29"/>
      <c r="O268" s="29"/>
      <c r="P268" s="29"/>
      <c r="Q268" s="29"/>
      <c r="R268" s="38" t="s">
        <v>68</v>
      </c>
      <c r="S268" s="38" t="s">
        <v>68</v>
      </c>
      <c r="T268" s="8">
        <v>130002</v>
      </c>
      <c r="U268" s="17" t="s">
        <v>162</v>
      </c>
      <c r="V268" s="17">
        <v>0</v>
      </c>
      <c r="W268" s="17"/>
      <c r="X268" s="17"/>
      <c r="Y268" s="53"/>
      <c r="Z268" s="16"/>
      <c r="AA268" s="54"/>
      <c r="AB268" s="17">
        <v>0</v>
      </c>
      <c r="AC268" s="17"/>
      <c r="AD268" s="17"/>
      <c r="AE268" s="17"/>
      <c r="AF268" s="17"/>
      <c r="AG268" s="17"/>
      <c r="AH268" s="17"/>
      <c r="AI268" s="14">
        <f t="shared" si="50"/>
        <v>0</v>
      </c>
      <c r="AJ268" s="29"/>
      <c r="AK268" s="14" t="str">
        <f>IF(AJ268=1,"",IF(B269="","["&amp;B268&amp;","&amp;AI268&amp;",0]","["&amp;B268&amp;","&amp;AI268&amp;",0];"))</f>
        <v>[1467,0,0];</v>
      </c>
      <c r="AL268" s="17"/>
      <c r="AO268" s="14">
        <f t="shared" si="51"/>
        <v>0</v>
      </c>
      <c r="AP268" s="29"/>
      <c r="AQ268" s="14" t="str">
        <f>IF(AP268=1,"",IF(B269="","["&amp;B268&amp;","&amp;AO268&amp;",0]","["&amp;B268&amp;","&amp;AO268&amp;",0];"))</f>
        <v>[1467,0,0];</v>
      </c>
      <c r="AR268" s="17"/>
      <c r="AU268" s="14">
        <v>0</v>
      </c>
      <c r="AV268" s="29"/>
      <c r="AW268" s="14" t="str">
        <f>IF(AV268=1,"",IF(B269="","["&amp;B268&amp;","&amp;AU268&amp;",0]","["&amp;B268&amp;","&amp;AU268&amp;",0];"))</f>
        <v>[1467,0,0];</v>
      </c>
      <c r="AX268" s="17"/>
    </row>
    <row r="269" spans="2:50">
      <c r="B269" s="14">
        <v>1468</v>
      </c>
      <c r="C269" s="16" t="s">
        <v>491</v>
      </c>
      <c r="D269" s="15">
        <v>100468</v>
      </c>
      <c r="E269" s="17">
        <v>7</v>
      </c>
      <c r="F269" s="17"/>
      <c r="G269" s="17"/>
      <c r="H269" s="17"/>
      <c r="I269" s="29"/>
      <c r="J269" s="29"/>
      <c r="K269" s="29"/>
      <c r="L269" s="17"/>
      <c r="M269" s="17">
        <v>1</v>
      </c>
      <c r="N269" s="29"/>
      <c r="O269" s="29"/>
      <c r="P269" s="29"/>
      <c r="Q269" s="29"/>
      <c r="R269" s="38" t="s">
        <v>68</v>
      </c>
      <c r="S269" s="38" t="s">
        <v>68</v>
      </c>
      <c r="T269" s="8">
        <v>130003</v>
      </c>
      <c r="U269" s="17" t="s">
        <v>162</v>
      </c>
      <c r="V269" s="17">
        <v>0</v>
      </c>
      <c r="W269" s="17"/>
      <c r="X269" s="17"/>
      <c r="Y269" s="53"/>
      <c r="Z269" s="16"/>
      <c r="AA269" s="54"/>
      <c r="AB269" s="17">
        <v>0</v>
      </c>
      <c r="AC269" s="17"/>
      <c r="AD269" s="17"/>
      <c r="AE269" s="17"/>
      <c r="AF269" s="17"/>
      <c r="AG269" s="17"/>
      <c r="AH269" s="17"/>
      <c r="AI269" s="14">
        <f t="shared" si="50"/>
        <v>0</v>
      </c>
      <c r="AJ269" s="29"/>
      <c r="AK269" s="14" t="e">
        <f>IF(AJ269=1,"",IF(#REF!="","["&amp;B269&amp;","&amp;AI269&amp;",0]","["&amp;B269&amp;","&amp;AI269&amp;",0];"))</f>
        <v>#REF!</v>
      </c>
      <c r="AL269" s="17"/>
      <c r="AO269" s="14">
        <f t="shared" si="51"/>
        <v>0</v>
      </c>
      <c r="AP269" s="29"/>
      <c r="AQ269" s="14" t="e">
        <f>IF(AP269=1,"",IF(#REF!="","["&amp;B269&amp;","&amp;AO269&amp;",0]","["&amp;B269&amp;","&amp;AO269&amp;",0];"))</f>
        <v>#REF!</v>
      </c>
      <c r="AR269" s="17"/>
      <c r="AU269" s="14">
        <v>0</v>
      </c>
      <c r="AV269" s="29"/>
      <c r="AW269" s="14" t="e">
        <f>IF(AV269=1,"",IF(#REF!="","["&amp;B269&amp;","&amp;AU269&amp;",0]","["&amp;B269&amp;","&amp;AU269&amp;",0];"))</f>
        <v>#REF!</v>
      </c>
      <c r="AX269" s="17"/>
    </row>
    <row r="270" spans="2:53">
      <c r="B270" s="14">
        <v>1470</v>
      </c>
      <c r="C270" s="16" t="s">
        <v>492</v>
      </c>
      <c r="D270" s="15">
        <v>100470</v>
      </c>
      <c r="E270" s="17">
        <v>7</v>
      </c>
      <c r="F270" s="17"/>
      <c r="G270" s="17"/>
      <c r="H270" s="17"/>
      <c r="I270" s="29"/>
      <c r="J270" s="29"/>
      <c r="K270" s="29"/>
      <c r="L270" s="17"/>
      <c r="M270" s="17">
        <v>1</v>
      </c>
      <c r="N270" s="29"/>
      <c r="O270" s="29"/>
      <c r="P270" s="29"/>
      <c r="Q270" s="29"/>
      <c r="R270" s="38" t="s">
        <v>68</v>
      </c>
      <c r="S270" s="38" t="s">
        <v>68</v>
      </c>
      <c r="T270" s="8">
        <v>130005</v>
      </c>
      <c r="U270" s="17" t="s">
        <v>162</v>
      </c>
      <c r="V270" s="17">
        <v>0</v>
      </c>
      <c r="W270" s="17"/>
      <c r="X270" s="17"/>
      <c r="Y270" s="53"/>
      <c r="Z270" s="16"/>
      <c r="AA270" s="54"/>
      <c r="AB270" s="17">
        <v>0</v>
      </c>
      <c r="AC270" s="17"/>
      <c r="AD270" s="17"/>
      <c r="AE270" s="17"/>
      <c r="AF270" s="17"/>
      <c r="AG270" s="17"/>
      <c r="AH270" s="17"/>
      <c r="AI270" s="14">
        <f t="shared" si="50"/>
        <v>0</v>
      </c>
      <c r="AJ270" s="29"/>
      <c r="AK270" s="14" t="str">
        <f t="shared" ref="AK270:AK290" si="52">IF(AJ270=1,"",IF(B271="","["&amp;B270&amp;","&amp;AI270&amp;",0]","["&amp;B270&amp;","&amp;AI270&amp;",0];"))</f>
        <v>[1470,0,0];</v>
      </c>
      <c r="AL270" s="17"/>
      <c r="AO270" s="14">
        <f t="shared" si="51"/>
        <v>0</v>
      </c>
      <c r="AP270" s="29"/>
      <c r="AQ270" s="14" t="str">
        <f t="shared" ref="AQ270:AQ290" si="53">IF(AP270=1,"",IF(B271="","["&amp;B270&amp;","&amp;AO270&amp;",0]","["&amp;B270&amp;","&amp;AO270&amp;",0];"))</f>
        <v>[1470,0,0];</v>
      </c>
      <c r="AR270" s="17"/>
      <c r="AU270" s="14">
        <v>0</v>
      </c>
      <c r="AV270" s="29"/>
      <c r="AW270" s="14" t="str">
        <f t="shared" ref="AW270:AW279" si="54">IF(AV270=1,"",IF(B271="","["&amp;B270&amp;","&amp;AU270&amp;",0]","["&amp;B270&amp;","&amp;AU270&amp;",0];"))</f>
        <v>[1470,0,0];</v>
      </c>
      <c r="AX270" s="17"/>
      <c r="BA270" s="8">
        <v>1</v>
      </c>
    </row>
    <row r="271" spans="2:53">
      <c r="B271" s="14">
        <v>1471</v>
      </c>
      <c r="C271" s="16" t="s">
        <v>493</v>
      </c>
      <c r="D271" s="15">
        <v>100471</v>
      </c>
      <c r="E271" s="17">
        <v>7</v>
      </c>
      <c r="F271" s="17"/>
      <c r="G271" s="17"/>
      <c r="H271" s="17"/>
      <c r="I271" s="29"/>
      <c r="J271" s="29"/>
      <c r="K271" s="29"/>
      <c r="L271" s="17"/>
      <c r="M271" s="17">
        <v>1</v>
      </c>
      <c r="N271" s="29"/>
      <c r="O271" s="29"/>
      <c r="P271" s="29"/>
      <c r="Q271" s="29"/>
      <c r="R271" s="38" t="s">
        <v>68</v>
      </c>
      <c r="S271" s="38" t="s">
        <v>68</v>
      </c>
      <c r="T271" s="8">
        <v>130006</v>
      </c>
      <c r="U271" s="17" t="s">
        <v>162</v>
      </c>
      <c r="V271" s="17">
        <v>0</v>
      </c>
      <c r="W271" s="17"/>
      <c r="X271" s="17"/>
      <c r="Y271" s="53"/>
      <c r="Z271" s="16"/>
      <c r="AA271" s="54"/>
      <c r="AB271" s="17">
        <v>0</v>
      </c>
      <c r="AC271" s="17"/>
      <c r="AD271" s="17"/>
      <c r="AE271" s="17"/>
      <c r="AF271" s="17"/>
      <c r="AG271" s="17"/>
      <c r="AH271" s="17"/>
      <c r="AI271" s="14">
        <f t="shared" si="50"/>
        <v>0</v>
      </c>
      <c r="AJ271" s="29"/>
      <c r="AK271" s="14" t="str">
        <f t="shared" si="52"/>
        <v>[1471,0,0];</v>
      </c>
      <c r="AL271" s="17"/>
      <c r="AO271" s="14">
        <f t="shared" si="51"/>
        <v>0</v>
      </c>
      <c r="AP271" s="29"/>
      <c r="AQ271" s="14" t="str">
        <f t="shared" si="53"/>
        <v>[1471,0,0];</v>
      </c>
      <c r="AR271" s="17"/>
      <c r="AU271" s="14">
        <v>0</v>
      </c>
      <c r="AV271" s="29"/>
      <c r="AW271" s="14" t="str">
        <f t="shared" si="54"/>
        <v>[1471,0,0];</v>
      </c>
      <c r="AX271" s="17"/>
      <c r="BA271" s="8">
        <v>1</v>
      </c>
    </row>
    <row r="272" spans="2:53">
      <c r="B272" s="14">
        <v>1472</v>
      </c>
      <c r="C272" s="16" t="s">
        <v>494</v>
      </c>
      <c r="D272" s="15">
        <v>100472</v>
      </c>
      <c r="E272" s="17"/>
      <c r="F272" s="17"/>
      <c r="G272" s="17"/>
      <c r="H272" s="17"/>
      <c r="I272" s="29"/>
      <c r="J272" s="29"/>
      <c r="K272" s="29"/>
      <c r="L272" s="17"/>
      <c r="M272" s="17"/>
      <c r="N272" s="29"/>
      <c r="O272" s="29"/>
      <c r="P272" s="29"/>
      <c r="Q272" s="29"/>
      <c r="R272" s="38" t="s">
        <v>68</v>
      </c>
      <c r="S272" s="38" t="s">
        <v>68</v>
      </c>
      <c r="T272" s="17"/>
      <c r="U272" s="17" t="s">
        <v>162</v>
      </c>
      <c r="V272" s="17">
        <v>0</v>
      </c>
      <c r="W272" s="17"/>
      <c r="X272" s="17"/>
      <c r="Y272" s="53"/>
      <c r="Z272" s="16"/>
      <c r="AA272" s="54"/>
      <c r="AB272" s="17">
        <v>0</v>
      </c>
      <c r="AC272" s="17" t="s">
        <v>495</v>
      </c>
      <c r="AD272" s="17" t="s">
        <v>277</v>
      </c>
      <c r="AE272" s="17"/>
      <c r="AF272" s="17"/>
      <c r="AG272" s="17"/>
      <c r="AH272" s="17"/>
      <c r="AI272" s="14">
        <f t="shared" si="50"/>
        <v>0</v>
      </c>
      <c r="AJ272" s="29">
        <v>1</v>
      </c>
      <c r="AK272" s="14" t="str">
        <f t="shared" si="52"/>
        <v/>
      </c>
      <c r="AL272" s="17"/>
      <c r="AO272" s="14">
        <f t="shared" si="51"/>
        <v>0</v>
      </c>
      <c r="AP272" s="29">
        <v>1</v>
      </c>
      <c r="AQ272" s="14" t="str">
        <f t="shared" si="53"/>
        <v/>
      </c>
      <c r="AR272" s="17"/>
      <c r="AU272" s="14">
        <v>0</v>
      </c>
      <c r="AV272" s="29">
        <v>1</v>
      </c>
      <c r="AW272" s="14" t="str">
        <f t="shared" si="54"/>
        <v/>
      </c>
      <c r="AX272" s="17"/>
      <c r="BA272" s="8">
        <v>1</v>
      </c>
    </row>
    <row r="273" spans="2:53">
      <c r="B273" s="14">
        <v>1473</v>
      </c>
      <c r="C273" s="16" t="s">
        <v>496</v>
      </c>
      <c r="D273" s="15">
        <v>100473</v>
      </c>
      <c r="E273" s="17"/>
      <c r="F273" s="17"/>
      <c r="G273" s="17"/>
      <c r="H273" s="17"/>
      <c r="I273" s="29"/>
      <c r="J273" s="29"/>
      <c r="K273" s="29"/>
      <c r="L273" s="17"/>
      <c r="M273" s="17"/>
      <c r="N273" s="29"/>
      <c r="O273" s="29"/>
      <c r="P273" s="29"/>
      <c r="Q273" s="29"/>
      <c r="R273" s="38" t="s">
        <v>68</v>
      </c>
      <c r="S273" s="38" t="s">
        <v>68</v>
      </c>
      <c r="T273" s="17"/>
      <c r="U273" s="17" t="s">
        <v>162</v>
      </c>
      <c r="V273" s="17">
        <v>0</v>
      </c>
      <c r="W273" s="17"/>
      <c r="X273" s="17"/>
      <c r="Y273" s="53"/>
      <c r="Z273" s="16"/>
      <c r="AA273" s="54"/>
      <c r="AB273" s="17">
        <v>0</v>
      </c>
      <c r="AC273" s="17">
        <v>1</v>
      </c>
      <c r="AD273" s="17"/>
      <c r="AE273" s="17"/>
      <c r="AF273" s="17"/>
      <c r="AG273" s="17"/>
      <c r="AH273" s="17"/>
      <c r="AI273" s="14">
        <f t="shared" si="50"/>
        <v>0</v>
      </c>
      <c r="AJ273" s="29">
        <v>1</v>
      </c>
      <c r="AK273" s="14" t="str">
        <f t="shared" si="52"/>
        <v/>
      </c>
      <c r="AL273" s="17"/>
      <c r="AO273" s="14">
        <f t="shared" si="51"/>
        <v>0</v>
      </c>
      <c r="AP273" s="29">
        <v>1</v>
      </c>
      <c r="AQ273" s="14" t="str">
        <f t="shared" si="53"/>
        <v/>
      </c>
      <c r="AR273" s="17"/>
      <c r="AU273" s="14">
        <v>0</v>
      </c>
      <c r="AV273" s="29">
        <v>1</v>
      </c>
      <c r="AW273" s="14" t="str">
        <f t="shared" si="54"/>
        <v/>
      </c>
      <c r="AX273" s="17"/>
      <c r="BA273" s="8">
        <v>1</v>
      </c>
    </row>
    <row r="274" spans="2:53">
      <c r="B274" s="14">
        <v>1474</v>
      </c>
      <c r="C274" s="16" t="s">
        <v>497</v>
      </c>
      <c r="D274" s="15">
        <v>100474</v>
      </c>
      <c r="E274" s="17"/>
      <c r="F274" s="17"/>
      <c r="G274" s="17"/>
      <c r="H274" s="17"/>
      <c r="I274" s="29"/>
      <c r="J274" s="29"/>
      <c r="K274" s="29"/>
      <c r="L274" s="17"/>
      <c r="M274" s="17"/>
      <c r="N274" s="29"/>
      <c r="O274" s="29"/>
      <c r="P274" s="29"/>
      <c r="Q274" s="29"/>
      <c r="R274" s="38" t="s">
        <v>68</v>
      </c>
      <c r="S274" s="38" t="s">
        <v>68</v>
      </c>
      <c r="T274" s="17"/>
      <c r="U274" s="17" t="s">
        <v>162</v>
      </c>
      <c r="V274" s="17">
        <v>0</v>
      </c>
      <c r="W274" s="17"/>
      <c r="X274" s="17"/>
      <c r="Y274" s="53"/>
      <c r="Z274" s="16"/>
      <c r="AA274" s="54"/>
      <c r="AB274" s="17">
        <v>0</v>
      </c>
      <c r="AC274" s="17" t="s">
        <v>495</v>
      </c>
      <c r="AD274" s="17" t="s">
        <v>277</v>
      </c>
      <c r="AE274" s="17"/>
      <c r="AF274" s="17"/>
      <c r="AG274" s="17"/>
      <c r="AH274" s="17"/>
      <c r="AI274" s="14">
        <f t="shared" si="50"/>
        <v>0</v>
      </c>
      <c r="AJ274" s="29">
        <v>1</v>
      </c>
      <c r="AK274" s="14" t="str">
        <f t="shared" si="52"/>
        <v/>
      </c>
      <c r="AL274" s="17"/>
      <c r="AO274" s="14">
        <f t="shared" si="51"/>
        <v>0</v>
      </c>
      <c r="AP274" s="29">
        <v>1</v>
      </c>
      <c r="AQ274" s="14" t="str">
        <f t="shared" si="53"/>
        <v/>
      </c>
      <c r="AR274" s="17"/>
      <c r="AU274" s="14">
        <v>0</v>
      </c>
      <c r="AV274" s="29">
        <v>1</v>
      </c>
      <c r="AW274" s="14" t="str">
        <f t="shared" si="54"/>
        <v/>
      </c>
      <c r="AX274" s="17"/>
      <c r="BA274" s="8">
        <v>1</v>
      </c>
    </row>
    <row r="275" spans="2:53">
      <c r="B275" s="14">
        <v>1475</v>
      </c>
      <c r="C275" s="16" t="s">
        <v>498</v>
      </c>
      <c r="D275" s="15">
        <v>100475</v>
      </c>
      <c r="E275" s="17"/>
      <c r="F275" s="17"/>
      <c r="G275" s="17"/>
      <c r="H275" s="17"/>
      <c r="I275" s="29"/>
      <c r="J275" s="29"/>
      <c r="K275" s="29"/>
      <c r="L275" s="17"/>
      <c r="M275" s="17"/>
      <c r="N275" s="29"/>
      <c r="O275" s="29"/>
      <c r="P275" s="29"/>
      <c r="Q275" s="29"/>
      <c r="R275" s="38" t="s">
        <v>68</v>
      </c>
      <c r="S275" s="38" t="s">
        <v>68</v>
      </c>
      <c r="T275" s="17"/>
      <c r="U275" s="17" t="s">
        <v>162</v>
      </c>
      <c r="V275" s="17">
        <v>0</v>
      </c>
      <c r="W275" s="17"/>
      <c r="X275" s="17"/>
      <c r="Y275" s="53"/>
      <c r="Z275" s="16"/>
      <c r="AA275" s="54"/>
      <c r="AB275" s="17">
        <v>0</v>
      </c>
      <c r="AC275" s="17" t="s">
        <v>495</v>
      </c>
      <c r="AD275" s="17" t="s">
        <v>277</v>
      </c>
      <c r="AE275" s="17"/>
      <c r="AF275" s="17"/>
      <c r="AG275" s="17"/>
      <c r="AH275" s="17"/>
      <c r="AI275" s="14">
        <f t="shared" si="50"/>
        <v>0</v>
      </c>
      <c r="AJ275" s="29">
        <v>1</v>
      </c>
      <c r="AK275" s="14" t="str">
        <f t="shared" si="52"/>
        <v/>
      </c>
      <c r="AL275" s="17"/>
      <c r="AO275" s="14">
        <f t="shared" ref="AO275:AO283" si="55">IF(AA275="",0,AA275)</f>
        <v>0</v>
      </c>
      <c r="AP275" s="29">
        <v>1</v>
      </c>
      <c r="AQ275" s="14" t="str">
        <f t="shared" si="53"/>
        <v/>
      </c>
      <c r="AR275" s="17"/>
      <c r="AU275" s="14">
        <v>0</v>
      </c>
      <c r="AV275" s="29">
        <v>1</v>
      </c>
      <c r="AW275" s="14" t="str">
        <f t="shared" si="54"/>
        <v/>
      </c>
      <c r="AX275" s="17"/>
      <c r="BA275" s="8">
        <v>0</v>
      </c>
    </row>
    <row r="276" ht="40.5" spans="2:53">
      <c r="B276" s="14">
        <v>1476</v>
      </c>
      <c r="C276" s="16" t="s">
        <v>499</v>
      </c>
      <c r="D276" s="15">
        <v>100476</v>
      </c>
      <c r="E276" s="17"/>
      <c r="F276" s="17"/>
      <c r="G276" s="17"/>
      <c r="H276" s="17"/>
      <c r="I276" s="29"/>
      <c r="J276" s="29"/>
      <c r="K276" s="29"/>
      <c r="L276" s="17"/>
      <c r="M276" s="17"/>
      <c r="N276" s="29"/>
      <c r="O276" s="29"/>
      <c r="P276" s="29"/>
      <c r="Q276" s="29"/>
      <c r="R276" s="38" t="s">
        <v>68</v>
      </c>
      <c r="S276" s="38" t="s">
        <v>68</v>
      </c>
      <c r="T276" s="17"/>
      <c r="U276" s="17" t="s">
        <v>69</v>
      </c>
      <c r="V276" s="17"/>
      <c r="W276" s="17">
        <v>1</v>
      </c>
      <c r="X276" s="17"/>
      <c r="Y276" s="53"/>
      <c r="Z276" s="16"/>
      <c r="AA276" s="54"/>
      <c r="AB276" s="55" t="s">
        <v>197</v>
      </c>
      <c r="AC276" s="55" t="s">
        <v>198</v>
      </c>
      <c r="AD276" s="56"/>
      <c r="AE276" s="56"/>
      <c r="AF276" s="17"/>
      <c r="AG276" s="17"/>
      <c r="AH276" s="17"/>
      <c r="AI276" s="14">
        <f t="shared" si="50"/>
        <v>0</v>
      </c>
      <c r="AJ276" s="29">
        <v>1</v>
      </c>
      <c r="AK276" s="14" t="str">
        <f t="shared" si="52"/>
        <v/>
      </c>
      <c r="AL276" s="56"/>
      <c r="AO276" s="14">
        <f t="shared" si="55"/>
        <v>0</v>
      </c>
      <c r="AQ276" s="14" t="str">
        <f t="shared" si="53"/>
        <v>[1476,0,0];</v>
      </c>
      <c r="AR276" s="17"/>
      <c r="AU276" s="14">
        <v>0</v>
      </c>
      <c r="AW276" s="14" t="str">
        <f t="shared" si="54"/>
        <v>[1476,0,0];</v>
      </c>
      <c r="AX276" s="17"/>
      <c r="BA276" s="8">
        <v>0</v>
      </c>
    </row>
    <row r="277" spans="2:53">
      <c r="B277" s="14">
        <v>1477</v>
      </c>
      <c r="C277" s="16" t="s">
        <v>500</v>
      </c>
      <c r="D277" s="15">
        <v>100477</v>
      </c>
      <c r="E277" s="17"/>
      <c r="F277" s="17"/>
      <c r="G277" s="17"/>
      <c r="H277" s="17"/>
      <c r="I277" s="29"/>
      <c r="J277" s="29"/>
      <c r="K277" s="29"/>
      <c r="L277" s="17"/>
      <c r="M277" s="17"/>
      <c r="N277" s="29">
        <v>1</v>
      </c>
      <c r="O277" s="29"/>
      <c r="P277" s="29"/>
      <c r="Q277" s="29"/>
      <c r="R277" s="38" t="s">
        <v>68</v>
      </c>
      <c r="S277" s="38" t="s">
        <v>68</v>
      </c>
      <c r="T277" s="17"/>
      <c r="U277" s="17" t="s">
        <v>69</v>
      </c>
      <c r="V277" s="17">
        <v>0</v>
      </c>
      <c r="W277" s="17"/>
      <c r="X277" s="17"/>
      <c r="Y277" s="53"/>
      <c r="Z277" s="16"/>
      <c r="AA277" s="54"/>
      <c r="AB277" s="17">
        <v>0</v>
      </c>
      <c r="AC277" s="55" t="s">
        <v>501</v>
      </c>
      <c r="AD277" s="55"/>
      <c r="AE277" s="55" t="s">
        <v>502</v>
      </c>
      <c r="AF277" s="17"/>
      <c r="AG277" s="17"/>
      <c r="AH277" s="17"/>
      <c r="AI277" s="14">
        <f t="shared" si="50"/>
        <v>0</v>
      </c>
      <c r="AJ277" s="29"/>
      <c r="AK277" s="14" t="str">
        <f t="shared" si="52"/>
        <v>[1477,0,0];</v>
      </c>
      <c r="AL277" s="17"/>
      <c r="AO277" s="14">
        <f t="shared" si="55"/>
        <v>0</v>
      </c>
      <c r="AP277" s="29"/>
      <c r="AQ277" s="14" t="str">
        <f t="shared" si="53"/>
        <v>[1477,0,0];</v>
      </c>
      <c r="AR277" s="17"/>
      <c r="AU277" s="14">
        <v>0</v>
      </c>
      <c r="AV277" s="29"/>
      <c r="AW277" s="14" t="str">
        <f t="shared" si="54"/>
        <v>[1477,0,0];</v>
      </c>
      <c r="AX277" s="17"/>
      <c r="BA277" s="8">
        <v>0</v>
      </c>
    </row>
    <row r="278" spans="2:53">
      <c r="B278" s="14">
        <v>1478</v>
      </c>
      <c r="C278" s="16" t="s">
        <v>503</v>
      </c>
      <c r="D278" s="15">
        <v>100478</v>
      </c>
      <c r="E278" s="17"/>
      <c r="F278" s="17"/>
      <c r="G278" s="17"/>
      <c r="H278" s="17"/>
      <c r="I278" s="29"/>
      <c r="J278" s="29"/>
      <c r="K278" s="29"/>
      <c r="L278" s="17"/>
      <c r="M278" s="17"/>
      <c r="N278" s="29">
        <v>1</v>
      </c>
      <c r="O278" s="29"/>
      <c r="P278" s="29"/>
      <c r="Q278" s="29"/>
      <c r="R278" s="38" t="s">
        <v>68</v>
      </c>
      <c r="S278" s="38" t="s">
        <v>68</v>
      </c>
      <c r="T278" s="17"/>
      <c r="U278" s="17" t="s">
        <v>69</v>
      </c>
      <c r="V278" s="17">
        <v>0</v>
      </c>
      <c r="W278" s="17"/>
      <c r="X278" s="17"/>
      <c r="Y278" s="53"/>
      <c r="Z278" s="16"/>
      <c r="AA278" s="54"/>
      <c r="AB278" s="17">
        <v>0</v>
      </c>
      <c r="AC278" s="55" t="s">
        <v>501</v>
      </c>
      <c r="AD278" s="55"/>
      <c r="AE278" s="55" t="s">
        <v>502</v>
      </c>
      <c r="AF278" s="17"/>
      <c r="AG278" s="17"/>
      <c r="AH278" s="17"/>
      <c r="AI278" s="14">
        <f t="shared" si="50"/>
        <v>0</v>
      </c>
      <c r="AJ278" s="29"/>
      <c r="AK278" s="14" t="str">
        <f t="shared" si="52"/>
        <v>[1478,0,0];</v>
      </c>
      <c r="AL278" s="17"/>
      <c r="AO278" s="14">
        <f t="shared" si="55"/>
        <v>0</v>
      </c>
      <c r="AP278" s="29"/>
      <c r="AQ278" s="14" t="str">
        <f t="shared" si="53"/>
        <v>[1478,0,0];</v>
      </c>
      <c r="AR278" s="17"/>
      <c r="AU278" s="14">
        <v>0</v>
      </c>
      <c r="AV278" s="29"/>
      <c r="AW278" s="14" t="str">
        <f t="shared" si="54"/>
        <v>[1478,0,0];</v>
      </c>
      <c r="AX278" s="17"/>
      <c r="BA278" s="8">
        <v>0</v>
      </c>
    </row>
    <row r="279" spans="2:50">
      <c r="B279" s="14">
        <v>1479</v>
      </c>
      <c r="C279" s="16" t="s">
        <v>504</v>
      </c>
      <c r="D279" s="15">
        <v>100479</v>
      </c>
      <c r="E279" s="17"/>
      <c r="F279" s="17"/>
      <c r="G279" s="17"/>
      <c r="H279" s="17"/>
      <c r="I279" s="29"/>
      <c r="J279" s="29"/>
      <c r="K279" s="29"/>
      <c r="L279" s="17"/>
      <c r="M279" s="17"/>
      <c r="N279" s="29">
        <v>1</v>
      </c>
      <c r="O279" s="29"/>
      <c r="P279" s="29"/>
      <c r="Q279" s="29"/>
      <c r="R279" s="38" t="s">
        <v>68</v>
      </c>
      <c r="S279" s="38" t="s">
        <v>68</v>
      </c>
      <c r="T279" s="17"/>
      <c r="U279" s="17" t="s">
        <v>69</v>
      </c>
      <c r="V279" s="17">
        <v>0</v>
      </c>
      <c r="W279" s="17"/>
      <c r="X279" s="17"/>
      <c r="Y279" s="53"/>
      <c r="Z279" s="16"/>
      <c r="AA279" s="54"/>
      <c r="AB279" s="17">
        <v>0</v>
      </c>
      <c r="AC279" s="55" t="s">
        <v>501</v>
      </c>
      <c r="AD279" s="55"/>
      <c r="AE279" s="55" t="s">
        <v>502</v>
      </c>
      <c r="AF279" s="17"/>
      <c r="AG279" s="17"/>
      <c r="AH279" s="17"/>
      <c r="AI279" s="14">
        <f t="shared" si="50"/>
        <v>0</v>
      </c>
      <c r="AJ279" s="29"/>
      <c r="AK279" s="14" t="str">
        <f t="shared" si="52"/>
        <v>[1479,0,0];</v>
      </c>
      <c r="AL279" s="17"/>
      <c r="AO279" s="14">
        <f t="shared" si="55"/>
        <v>0</v>
      </c>
      <c r="AP279" s="29"/>
      <c r="AQ279" s="14" t="str">
        <f t="shared" si="53"/>
        <v>[1479,0,0];</v>
      </c>
      <c r="AR279" s="17"/>
      <c r="AU279" s="14">
        <v>0</v>
      </c>
      <c r="AV279" s="29"/>
      <c r="AW279" s="14" t="str">
        <f t="shared" si="54"/>
        <v>[1479,0,0];</v>
      </c>
      <c r="AX279" s="17"/>
    </row>
    <row r="280" spans="2:50">
      <c r="B280" s="14">
        <v>1480</v>
      </c>
      <c r="C280" s="16" t="s">
        <v>505</v>
      </c>
      <c r="D280" s="15">
        <v>100480</v>
      </c>
      <c r="E280" s="17"/>
      <c r="F280" s="17"/>
      <c r="G280" s="17"/>
      <c r="H280" s="17"/>
      <c r="I280" s="29"/>
      <c r="J280" s="29"/>
      <c r="K280" s="29"/>
      <c r="L280" s="17"/>
      <c r="M280" s="17"/>
      <c r="N280" s="29">
        <v>1</v>
      </c>
      <c r="O280" s="29"/>
      <c r="P280" s="29"/>
      <c r="Q280" s="29"/>
      <c r="R280" s="38" t="s">
        <v>68</v>
      </c>
      <c r="S280" s="38" t="s">
        <v>68</v>
      </c>
      <c r="T280" s="17"/>
      <c r="U280" s="17" t="s">
        <v>69</v>
      </c>
      <c r="V280" s="17">
        <v>0</v>
      </c>
      <c r="W280" s="17"/>
      <c r="X280" s="17"/>
      <c r="Y280" s="53"/>
      <c r="Z280" s="16"/>
      <c r="AA280" s="54"/>
      <c r="AB280" s="17">
        <v>0</v>
      </c>
      <c r="AC280" s="55" t="s">
        <v>501</v>
      </c>
      <c r="AD280" s="55"/>
      <c r="AE280" s="55" t="s">
        <v>502</v>
      </c>
      <c r="AF280" s="17"/>
      <c r="AG280" s="17"/>
      <c r="AH280" s="17"/>
      <c r="AI280" s="14">
        <f t="shared" si="50"/>
        <v>0</v>
      </c>
      <c r="AJ280" s="29"/>
      <c r="AK280" s="14" t="e">
        <f>IF(AJ280=1,"",IF(#REF!="","["&amp;B280&amp;","&amp;AI280&amp;",0]","["&amp;B280&amp;","&amp;AI280&amp;",0];"))</f>
        <v>#REF!</v>
      </c>
      <c r="AL280" s="17"/>
      <c r="AO280" s="14">
        <f t="shared" si="55"/>
        <v>0</v>
      </c>
      <c r="AP280" s="29"/>
      <c r="AQ280" s="14" t="e">
        <f>IF(AP280=1,"",IF(#REF!="","["&amp;B280&amp;","&amp;AO280&amp;",0]","["&amp;B280&amp;","&amp;AO280&amp;",0];"))</f>
        <v>#REF!</v>
      </c>
      <c r="AR280" s="17"/>
      <c r="AU280" s="14">
        <v>0</v>
      </c>
      <c r="AV280" s="29"/>
      <c r="AW280" s="14" t="e">
        <f>IF(AV280=1,"",IF(#REF!="","["&amp;B280&amp;","&amp;AU280&amp;",0]","["&amp;B280&amp;","&amp;AU280&amp;",0];"))</f>
        <v>#REF!</v>
      </c>
      <c r="AX280" s="17"/>
    </row>
  </sheetData>
  <mergeCells count="2">
    <mergeCell ref="AA1:AH1"/>
    <mergeCell ref="AC231:AG231"/>
  </mergeCells>
  <conditionalFormatting sqref="D3">
    <cfRule type="duplicateValues" dxfId="0" priority="585"/>
  </conditionalFormatting>
  <conditionalFormatting sqref="AA99">
    <cfRule type="cellIs" dxfId="1" priority="6" operator="equal">
      <formula>-1</formula>
    </cfRule>
  </conditionalFormatting>
  <conditionalFormatting sqref="AA140">
    <cfRule type="cellIs" dxfId="1" priority="2" operator="equal">
      <formula>-1</formula>
    </cfRule>
  </conditionalFormatting>
  <conditionalFormatting sqref="W215:Y215">
    <cfRule type="cellIs" dxfId="1" priority="192" operator="greaterThan">
      <formula>0</formula>
    </cfRule>
  </conditionalFormatting>
  <conditionalFormatting sqref="V219:Z219">
    <cfRule type="cellIs" dxfId="1" priority="115" operator="greaterThan">
      <formula>0</formula>
    </cfRule>
  </conditionalFormatting>
  <conditionalFormatting sqref="V221:Z221">
    <cfRule type="cellIs" dxfId="1" priority="109" operator="greaterThan">
      <formula>0</formula>
    </cfRule>
  </conditionalFormatting>
  <conditionalFormatting sqref="V223:Z223">
    <cfRule type="cellIs" dxfId="1" priority="103" operator="greaterThan">
      <formula>0</formula>
    </cfRule>
  </conditionalFormatting>
  <conditionalFormatting sqref="W224:Z224">
    <cfRule type="cellIs" dxfId="1" priority="184" operator="greaterThan">
      <formula>0</formula>
    </cfRule>
  </conditionalFormatting>
  <conditionalFormatting sqref="B1:B280">
    <cfRule type="duplicateValues" dxfId="2" priority="542"/>
    <cfRule type="duplicateValues" dxfId="0" priority="2621"/>
  </conditionalFormatting>
  <conditionalFormatting sqref="V5:Z98 E5:I98 L5:N98 L100:N139 E100:I139 V100:Z139 E141:I280 L141:N280 V141:Z214">
    <cfRule type="cellIs" dxfId="1" priority="10" operator="greaterThan">
      <formula>0</formula>
    </cfRule>
  </conditionalFormatting>
  <conditionalFormatting sqref="AA5:AA98 AA100:AA111">
    <cfRule type="cellIs" dxfId="1" priority="12" operator="equal">
      <formula>-1</formula>
    </cfRule>
  </conditionalFormatting>
  <conditionalFormatting sqref="E99:I99 L99:N99 V99:Z99">
    <cfRule type="cellIs" dxfId="1" priority="5" operator="greaterThan">
      <formula>0</formula>
    </cfRule>
  </conditionalFormatting>
  <conditionalFormatting sqref="AA112:AA139 AA141:AA280 Z215">
    <cfRule type="cellIs" dxfId="1" priority="193" operator="equal">
      <formula>-1</formula>
    </cfRule>
  </conditionalFormatting>
  <conditionalFormatting sqref="L140:N140 V140:Z140 E140:I140">
    <cfRule type="cellIs" dxfId="1" priority="1" operator="greaterThan">
      <formula>0</formula>
    </cfRule>
  </conditionalFormatting>
  <conditionalFormatting sqref="V216:Z217">
    <cfRule type="cellIs" dxfId="1" priority="93" operator="greaterThan">
      <formula>0</formula>
    </cfRule>
  </conditionalFormatting>
  <conditionalFormatting sqref="W218:Z218 W222:Z222 W220:Z220">
    <cfRule type="cellIs" dxfId="1" priority="191" operator="greaterThan">
      <formula>0</formula>
    </cfRule>
  </conditionalFormatting>
  <conditionalFormatting sqref="V225:Z280">
    <cfRule type="cellIs" dxfId="1" priority="31" operator="greaterThan">
      <formula>0</formula>
    </cfRule>
  </conditionalFormatting>
  <dataValidations count="5">
    <dataValidation type="list" allowBlank="1" showInputMessage="1" showErrorMessage="1" sqref="AA1 AA139 AA140 Z215 AA3:AA5 AA6:AA46 AA47:AA53 AA54:AA98 AA99:AA111 AA112:AA138 AA141:AA185 AA186:AA213 AA214:AA264 AA265:AA269 AA270:AA280">
      <formula1>"-1,0,1,2,3,4,5"</formula1>
    </dataValidation>
    <dataValidation allowBlank="1" showInputMessage="1" showErrorMessage="1" sqref="P4 J5 K5 O5:P5 Q5:T5 U5 AI5 AO5 AU5 J39 O99:T99 U99 J139:K139 O139:U139 AI139 AO139 AU139 J140:K140 O140:U140 AI140 AO140 AU140 J151 K151 J152:K152 J155:K155 J168 K168 J177 K177 J195 J6:J38 J41:J46 J47:J53 J54:J98 J99:J111 J112:J138 J153:J154 J156:J157 J196:J197 K6:K46 K47:K53 K54:K98 K99:K111 K112:K138 K153:K154 K156:K157 K195:K197 T232:T252 U6:U46 U47:U53 U54:U98 U232:U264 AI1:AI2 AI6:AI46 AI47:AI53 AI54:AI98 AI99:AI111 AI112:AI138 AI141:AI185 AI186:AI213 AI214:AI264 AI265:AI269 AI270:AI280 AJ1:AJ4 AO1:AO2 AO6:AO46 AO47:AO53 AO54:AO98 AO99:AO111 AO112:AO138 AO141:AO185 AO186:AO213 AO214:AO264 AO265:AO269 AO270:AO280 AP1:AP4 AU1:AU2 AU6:AU46 AU47:AU53 AU54:AU98 AU99:AU111 AU112:AU138 AU141:AU185 AU186:AU213 AU214:AU264 AU265:AU269 AU270:AU280 AV1:AV4 J214:K264 AB2:AH4 O6:P46 V1:Z4 E1:N2 Q1:T2 O1:P2 Q6:T46 Q47:T53 O54:T98 O47:P53 O100:U111 O112:U138 O141:U185 J158:K167 J169:K176 J178:K185 J141:K150 O186:U213 J186:K194 J198:K213 O259:Q264 R259:T264 O232:S258 O214:U231 O265:Q269 R265:U269 J265:K269 O276:U280 R270:U275 O270:Q275 J270:K280"/>
    <dataValidation type="list" allowBlank="1" showInputMessage="1" showErrorMessage="1" sqref="E5:F5 E47:F47 E48 F48 E49:F49 E53:F53 E139:F139 E140:F140 E50:E52 F50:F52 E6:F46 E54:F98 E99:F111 E141:F185 E112:F138 E186:F213 E214:F264 E265:F269 E270:F280">
      <formula1>"0,1,2,3,4,5,6,7"</formula1>
    </dataValidation>
    <dataValidation type="list" allowBlank="1" showInputMessage="1" showErrorMessage="1" sqref="G5:I5 L5:N5 G139:I139 L139:N139 G140:I140 L140:N140 L265:N269 L214:N264 L112:N138 G270:I280 G6:I46 L6:N46 G47:I53 L47:N53 G54:I98 L54:N98 G99:I111 L99:N111 L141:N185 G112:I138 G141:I185 L186:N213 G186:I213 G214:I264 G265:I269 L270:N280">
      <formula1>"0,1"</formula1>
    </dataValidation>
    <dataValidation type="list" allowBlank="1" showInputMessage="1" showErrorMessage="1" sqref="V5:Z5 V139:Z139 V140:Z140 V214:Z214 W215:Y215 W218:Z218 V219:Z219 W220:Z220 V221:Z221 W222:Z222 V223:Z223 W224:Z224 V47:Z53 V6:Z46 V54:Z98 V99:Z111 V112:Z138 V141:Z185 V186:Z213 V225:Z264 V216:Z217 V265:Z269 V270:Z280">
      <formula1>"0,1,2,3"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道具</dc:title>
  <dc:creator>Administrator</dc:creator>
  <cp:lastModifiedBy>MOV</cp:lastModifiedBy>
  <dcterms:created xsi:type="dcterms:W3CDTF">2023-01-06T01:31:00Z</dcterms:created>
  <dcterms:modified xsi:type="dcterms:W3CDTF">2024-04-03T14:18:26Z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15F0DD73F1F1457A8CADDC871F4B8C02</vt:lpwstr>
  </property>
  <property fmtid="{D5CDD505-2E9C-101B-9397-08002B2CF9AE}" pid="3" name="KSOProductBuildVer">
    <vt:lpwstr>2052-12.1.0.16417</vt:lpwstr>
  </property>
  <property fmtid="{D5CDD505-2E9C-101B-9397-08002B2CF9AE}" pid="4" name="KSOReadingLayout">
    <vt:bool>true</vt:bool>
  </property>
</Properties>
</file>